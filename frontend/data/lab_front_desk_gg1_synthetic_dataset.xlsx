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f8463a658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765e779ce64bb7"/>
    <x:sheet xmlns:r="http://schemas.openxmlformats.org/officeDocument/2006/relationships" name="Synthetic_Data" sheetId="2" r:id="Re02ba8832cfe4220"/>
    <x:sheet xmlns:r="http://schemas.openxmlformats.org/officeDocument/2006/relationships" name="Processed_For_GG1" sheetId="3" r:id="R0254bd5ef4764716"/>
    <x:sheet xmlns:r="http://schemas.openxmlformats.org/officeDocument/2006/relationships" name="Summary" sheetId="4" r:id="Rad8758ef6b5c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hh:mm:ss"/>
    <x:numFmt numFmtId="202" formatCode="0.0"/>
    <x:numFmt numFmtId="203" formatCode="0.0%"/>
    <x:numFmt numFmtId="204" formatCode="0"/>
  </x:numFmts>
  <x:fonts count="7">
    <x:font>
      <x:sz val="11"/>
      <x:name val="Carlito"/>
    </x:font>
    <x:font>
      <x:b/>
      <x:sz val="16"/>
      <x:color rgb="0F172A"/>
      <x:name val="Aptos"/>
    </x:font>
    <x:font>
      <x:b/>
      <x:sz val="11"/>
      <x:color rgb="0F172A"/>
      <x:name val="Aptos"/>
    </x:font>
    <x:font>
      <x:sz val="11"/>
      <x:color rgb="111827"/>
      <x:name val="Aptos"/>
    </x:font>
    <x:font>
      <x:b/>
      <x:sz val="10"/>
      <x:color rgb="0F172A"/>
      <x:name val="Aptos"/>
    </x:font>
    <x:font>
      <x:sz val="10"/>
      <x:color rgb="111827"/>
      <x:name val="Aptos"/>
    </x:font>
    <x:font>
      <x:i/>
      <x:sz val="10"/>
      <x:color rgb="47556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</x:fills>
  <x:borders count="32">
    <x:border/>
    <x:border/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right style="thin">
        <x:color rgb="EEF2F7"/>
      </x:right>
      <x:bottom style="thin">
        <x:color rgb="EEF2F7"/>
      </x:bottom>
    </x:border>
    <x:border>
      <x:left style="thin">
        <x:color rgb="EEF2F7"/>
      </x:left>
      <x:right style="thin">
        <x:color rgb="EEF2F7"/>
      </x:right>
      <x:bottom style="thin">
        <x:color rgb="EEF2F7"/>
      </x:bottom>
    </x:border>
    <x:border>
      <x:left style="thin">
        <x:color rgb="EEF2F7"/>
      </x:left>
      <x:bottom style="thin">
        <x:color rgb="EEF2F7"/>
      </x:bottom>
    </x:border>
    <x:border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top style="thin">
        <x:color rgb="EEF2F7"/>
      </x:top>
      <x:bottom style="thin">
        <x:color rgb="EEF2F7"/>
      </x:bottom>
    </x:border>
    <x:border>
      <x:right style="thin">
        <x:color rgb="EEF2F7"/>
      </x:right>
      <x:top style="thin">
        <x:color rgb="EEF2F7"/>
      </x:top>
    </x:border>
    <x:border>
      <x:left style="thin">
        <x:color rgb="EEF2F7"/>
      </x:left>
      <x:right style="thin">
        <x:color rgb="EEF2F7"/>
      </x:right>
      <x:top style="thin">
        <x:color rgb="EEF2F7"/>
      </x:top>
    </x:border>
    <x:border>
      <x:left style="thin">
        <x:color rgb="EEF2F7"/>
      </x:left>
      <x:top style="thin">
        <x:color rgb="EEF2F7"/>
      </x:top>
    </x:border>
    <x:border>
      <x:right style="thin">
        <x:color rgb="EEF2F7"/>
      </x:right>
      <x:bottom style="thin">
        <x:color rgb="EEF2F7"/>
      </x:bottom>
    </x:border>
    <x:border>
      <x:left style="thin">
        <x:color rgb="EEF2F7"/>
      </x:left>
      <x:right style="thin">
        <x:color rgb="EEF2F7"/>
      </x:right>
      <x:bottom style="thin">
        <x:color rgb="EEF2F7"/>
      </x:bottom>
    </x:border>
    <x:border>
      <x:left style="thin">
        <x:color rgb="EEF2F7"/>
      </x:left>
      <x:bottom style="thin">
        <x:color rgb="EEF2F7"/>
      </x:bottom>
    </x:border>
    <x:border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right style="thin">
        <x:color rgb="EEF2F7"/>
      </x:right>
      <x:top style="thin">
        <x:color rgb="EEF2F7"/>
      </x:top>
      <x:bottom style="thin">
        <x:color rgb="EEF2F7"/>
      </x:bottom>
    </x:border>
    <x:border>
      <x:left style="thin">
        <x:color rgb="EEF2F7"/>
      </x:left>
      <x:top style="thin">
        <x:color rgb="EEF2F7"/>
      </x:top>
      <x:bottom style="thin">
        <x:color rgb="EEF2F7"/>
      </x:bottom>
    </x:border>
    <x:border>
      <x:right style="thin">
        <x:color rgb="EEF2F7"/>
      </x:right>
      <x:top style="thin">
        <x:color rgb="EEF2F7"/>
      </x:top>
    </x:border>
    <x:border>
      <x:left style="thin">
        <x:color rgb="EEF2F7"/>
      </x:left>
      <x:right style="thin">
        <x:color rgb="EEF2F7"/>
      </x:right>
      <x:top style="thin">
        <x:color rgb="EEF2F7"/>
      </x:top>
    </x:border>
    <x:border>
      <x:left style="thin">
        <x:color rgb="EEF2F7"/>
      </x:left>
      <x:top style="thin">
        <x:color rgb="EEF2F7"/>
      </x:top>
    </x:border>
  </x:borders>
  <x:cellStyleXfs count="1">
    <x:xf numFmtId="0" fontId="0" fillId="0" borderId="0"/>
  </x:cellStyleXfs>
  <x:cellXfs count="2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wrapText="1"/>
    </x:xf>
    <x:xf numFmtId="0" fontId="4" fillId="4" borderId="13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14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0" fontId="5" fillId="0" borderId="19" xfId="0" applyNumberFormat="1" applyFont="1" applyFill="1" applyBorder="1" applyAlignment="1">
      <x:alignment vertical="center"/>
    </x:xf>
    <x:xf numFmtId="0" fontId="5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vertical="center"/>
    </x:xf>
    <x:xf numFmtId="0" fontId="5" fillId="0" borderId="22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0" fontId="5" fillId="0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9" xfId="0" applyNumberFormat="1" applyFont="1" applyFill="1" applyBorder="1"/>
    <x:xf numFmtId="0" fontId="5" fillId="0" borderId="30" xfId="0" applyNumberFormat="1" applyFont="1" applyFill="1" applyBorder="1"/>
    <x:xf numFmtId="0" fontId="5" fillId="0" borderId="31" xfId="0" applyNumberFormat="1" applyFont="1" applyFill="1" applyBorder="1"/>
    <x:xf numFmtId="0" fontId="5" fillId="0" borderId="23" xfId="0" applyNumberFormat="1" applyFont="1" applyFill="1" applyBorder="1" applyAlignment="1">
      <x:alignment vertical="center"/>
    </x:xf>
    <x:xf numFmtId="0" fontId="5" fillId="0" borderId="24" xfId="0" applyNumberFormat="1" applyFont="1" applyFill="1" applyBorder="1" applyAlignment="1">
      <x:alignment vertical="center"/>
    </x:xf>
    <x:xf numFmtId="0" fontId="5" fillId="0" borderId="25" xfId="0" applyNumberFormat="1" applyFont="1" applyFill="1" applyBorder="1" applyAlignment="1">
      <x:alignment vertical="center"/>
    </x:xf>
    <x:xf numFmtId="0" fontId="5" fillId="0" borderId="26" xfId="0" applyNumberFormat="1" applyFont="1" applyFill="1" applyBorder="1" applyAlignment="1">
      <x:alignment vertical="center"/>
    </x:xf>
    <x:xf numFmtId="0" fontId="5" fillId="0" borderId="27" xfId="0" applyNumberFormat="1" applyFont="1" applyFill="1" applyBorder="1" applyAlignment="1">
      <x:alignment vertical="center"/>
    </x:xf>
    <x:xf numFmtId="0" fontId="5" fillId="0" borderId="28" xfId="0" applyNumberFormat="1" applyFont="1" applyFill="1" applyBorder="1" applyAlignment="1">
      <x:alignment vertical="center"/>
    </x:xf>
    <x:xf numFmtId="0" fontId="5" fillId="0" borderId="29" xfId="0" applyNumberFormat="1" applyFont="1" applyFill="1" applyBorder="1" applyAlignment="1">
      <x:alignment vertical="center"/>
    </x:xf>
    <x:xf numFmtId="0" fontId="5" fillId="0" borderId="30" xfId="0" applyNumberFormat="1" applyFont="1" applyFill="1" applyBorder="1" applyAlignment="1">
      <x:alignment vertical="center"/>
    </x:xf>
    <x:xf numFmtId="0" fontId="5" fillId="0" borderId="31" xfId="0" applyNumberFormat="1" applyFont="1" applyFill="1" applyBorder="1" applyAlignment="1">
      <x:alignment vertical="center"/>
    </x:xf>
    <x:xf numFmtId="200" fontId="5" fillId="0" borderId="14" xfId="0" applyNumberFormat="1" applyFont="1" applyFill="1" applyBorder="1" applyAlignment="1">
      <x:alignment vertical="center"/>
    </x:xf>
    <x:xf numFmtId="200" fontId="5" fillId="0" borderId="17" xfId="0" applyNumberFormat="1" applyFont="1" applyFill="1" applyBorder="1" applyAlignment="1">
      <x:alignment vertical="center"/>
    </x:xf>
    <x:xf numFmtId="200" fontId="5" fillId="0" borderId="20" xfId="0" applyNumberFormat="1" applyFont="1" applyFill="1" applyBorder="1" applyAlignment="1">
      <x:alignment vertical="center"/>
    </x:xf>
    <x:xf numFmtId="200" fontId="5" fillId="0" borderId="23" xfId="0" applyNumberFormat="1" applyFont="1" applyFill="1" applyBorder="1" applyAlignment="1">
      <x:alignment vertical="center"/>
    </x:xf>
    <x:xf numFmtId="200" fontId="5" fillId="0" borderId="26" xfId="0" applyNumberFormat="1" applyFont="1" applyFill="1" applyBorder="1" applyAlignment="1">
      <x:alignment vertical="center"/>
    </x:xf>
    <x:xf numFmtId="200" fontId="5" fillId="0" borderId="29" xfId="0" applyNumberFormat="1" applyFont="1" applyFill="1" applyBorder="1" applyAlignment="1">
      <x:alignment vertical="center"/>
    </x:xf>
    <x:xf numFmtId="201" fontId="5" fillId="0" borderId="15" xfId="0" applyNumberFormat="1" applyFont="1" applyFill="1" applyBorder="1" applyAlignment="1">
      <x:alignment vertical="center"/>
    </x:xf>
    <x:xf numFmtId="201" fontId="5" fillId="0" borderId="18" xfId="0" applyNumberFormat="1" applyFont="1" applyFill="1" applyBorder="1" applyAlignment="1">
      <x:alignment vertical="center"/>
    </x:xf>
    <x:xf numFmtId="201" fontId="5" fillId="0" borderId="21" xfId="0" applyNumberFormat="1" applyFont="1" applyFill="1" applyBorder="1" applyAlignment="1">
      <x:alignment vertical="center"/>
    </x:xf>
    <x:xf numFmtId="201" fontId="5" fillId="0" borderId="24" xfId="0" applyNumberFormat="1" applyFont="1" applyFill="1" applyBorder="1" applyAlignment="1">
      <x:alignment vertical="center"/>
    </x:xf>
    <x:xf numFmtId="201" fontId="5" fillId="0" borderId="27" xfId="0" applyNumberFormat="1" applyFont="1" applyFill="1" applyBorder="1" applyAlignment="1">
      <x:alignment vertical="center"/>
    </x:xf>
    <x:xf numFmtId="201" fontId="5" fillId="0" borderId="30" xfId="0" applyNumberFormat="1" applyFont="1" applyFill="1" applyBorder="1" applyAlignment="1">
      <x:alignment vertical="center"/>
    </x:xf>
    <x:xf numFmtId="202" fontId="5" fillId="0" borderId="15" xfId="0" applyNumberFormat="1" applyFont="1" applyFill="1" applyBorder="1" applyAlignment="1">
      <x:alignment vertical="center"/>
    </x:xf>
    <x:xf numFmtId="202" fontId="5" fillId="0" borderId="18" xfId="0" applyNumberFormat="1" applyFont="1" applyFill="1" applyBorder="1" applyAlignment="1">
      <x:alignment vertical="center"/>
    </x:xf>
    <x:xf numFmtId="202" fontId="5" fillId="0" borderId="21" xfId="0" applyNumberFormat="1" applyFont="1" applyFill="1" applyBorder="1" applyAlignment="1">
      <x:alignment vertical="center"/>
    </x:xf>
    <x:xf numFmtId="202" fontId="5" fillId="0" borderId="24" xfId="0" applyNumberFormat="1" applyFont="1" applyFill="1" applyBorder="1" applyAlignment="1">
      <x:alignment vertical="center"/>
    </x:xf>
    <x:xf numFmtId="202" fontId="5" fillId="0" borderId="27" xfId="0" applyNumberFormat="1" applyFont="1" applyFill="1" applyBorder="1" applyAlignment="1">
      <x:alignment vertical="center"/>
    </x:xf>
    <x:xf numFmtId="202" fontId="5" fillId="0" borderId="30" xfId="0" applyNumberFormat="1" applyFont="1" applyFill="1" applyBorder="1" applyAlignment="1">
      <x:alignment vertical="center"/>
    </x:xf>
    <x:xf numFmtId="202" fontId="5" fillId="0" borderId="16" xfId="0" applyNumberFormat="1" applyFont="1" applyFill="1" applyBorder="1" applyAlignment="1">
      <x:alignment vertical="center"/>
    </x:xf>
    <x:xf numFmtId="202" fontId="5" fillId="0" borderId="19" xfId="0" applyNumberFormat="1" applyFont="1" applyFill="1" applyBorder="1" applyAlignment="1">
      <x:alignment vertical="center"/>
    </x:xf>
    <x:xf numFmtId="202" fontId="5" fillId="0" borderId="22" xfId="0" applyNumberFormat="1" applyFont="1" applyFill="1" applyBorder="1" applyAlignment="1">
      <x:alignment vertical="center"/>
    </x:xf>
    <x:xf numFmtId="202" fontId="5" fillId="0" borderId="25" xfId="0" applyNumberFormat="1" applyFont="1" applyFill="1" applyBorder="1" applyAlignment="1">
      <x:alignment vertical="center"/>
    </x:xf>
    <x:xf numFmtId="202" fontId="5" fillId="0" borderId="28" xfId="0" applyNumberFormat="1" applyFont="1" applyFill="1" applyBorder="1" applyAlignment="1">
      <x:alignment vertical="center"/>
    </x:xf>
    <x:xf numFmtId="202" fontId="5" fillId="0" borderId="3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200" fontId="5" fillId="0" borderId="15" xfId="0" applyNumberFormat="1" applyFont="1" applyFill="1" applyBorder="1"/>
    <x:xf numFmtId="200" fontId="5" fillId="0" borderId="18" xfId="0" applyNumberFormat="1" applyFont="1" applyFill="1" applyBorder="1"/>
    <x:xf numFmtId="200" fontId="5" fillId="0" borderId="21" xfId="0" applyNumberFormat="1" applyFont="1" applyFill="1" applyBorder="1"/>
    <x:xf numFmtId="200" fontId="5" fillId="0" borderId="24" xfId="0" applyNumberFormat="1" applyFont="1" applyFill="1" applyBorder="1"/>
    <x:xf numFmtId="200" fontId="5" fillId="0" borderId="27" xfId="0" applyNumberFormat="1" applyFont="1" applyFill="1" applyBorder="1"/>
    <x:xf numFmtId="200" fontId="5" fillId="0" borderId="30" xfId="0" applyNumberFormat="1" applyFont="1" applyFill="1" applyBorder="1"/>
    <x:xf numFmtId="202" fontId="5" fillId="0" borderId="15" xfId="0" applyNumberFormat="1" applyFont="1" applyFill="1" applyBorder="1"/>
    <x:xf numFmtId="202" fontId="5" fillId="0" borderId="18" xfId="0" applyNumberFormat="1" applyFont="1" applyFill="1" applyBorder="1"/>
    <x:xf numFmtId="202" fontId="5" fillId="0" borderId="21" xfId="0" applyNumberFormat="1" applyFont="1" applyFill="1" applyBorder="1"/>
    <x:xf numFmtId="202" fontId="5" fillId="0" borderId="24" xfId="0" applyNumberFormat="1" applyFont="1" applyFill="1" applyBorder="1"/>
    <x:xf numFmtId="202" fontId="5" fillId="0" borderId="27" xfId="0" applyNumberFormat="1" applyFont="1" applyFill="1" applyBorder="1"/>
    <x:xf numFmtId="202" fontId="5" fillId="0" borderId="3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203" fontId="5" fillId="0" borderId="21" xfId="0" applyNumberFormat="1" applyFont="1" applyFill="1" applyBorder="1"/>
    <x:xf numFmtId="203" fontId="5" fillId="0" borderId="30" xfId="0" applyNumberFormat="1" applyFont="1" applyFill="1" applyBorder="1"/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202" fontId="5" fillId="0" borderId="16" xfId="0" applyNumberFormat="1" applyFont="1" applyFill="1" applyBorder="1"/>
    <x:xf numFmtId="202" fontId="5" fillId="0" borderId="19" xfId="0" applyNumberFormat="1" applyFont="1" applyFill="1" applyBorder="1"/>
    <x:xf numFmtId="202" fontId="5" fillId="0" borderId="22" xfId="0" applyNumberFormat="1" applyFont="1" applyFill="1" applyBorder="1"/>
    <x:xf numFmtId="202" fontId="5" fillId="0" borderId="25" xfId="0" applyNumberFormat="1" applyFont="1" applyFill="1" applyBorder="1"/>
    <x:xf numFmtId="202" fontId="5" fillId="0" borderId="28" xfId="0" applyNumberFormat="1" applyFont="1" applyFill="1" applyBorder="1"/>
    <x:xf numFmtId="202" fontId="5" fillId="0" borderId="3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8" xfId="0" applyNumberFormat="1" applyFont="1" applyFill="1" applyBorder="1"/>
    <x:xf numFmtId="0" fontId="4" fillId="6" borderId="10" xfId="0" applyNumberFormat="1" applyFont="1" applyFill="1" applyBorder="1"/>
    <x:xf numFmtId="0" fontId="4" fillId="6" borderId="8" xfId="0" applyNumberFormat="1" applyFont="1" applyFill="1" applyBorder="1" applyAlignment="1">
      <x:alignment horizontal="center"/>
    </x:xf>
    <x:xf numFmtId="0" fontId="4" fillId="6" borderId="1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1" xfId="0" applyNumberFormat="1" applyFont="1" applyFill="1" applyBorder="1"/>
    <x:xf numFmtId="0" fontId="4" fillId="6" borderId="13" xfId="0" applyNumberFormat="1" applyFont="1" applyFill="1" applyBorder="1"/>
    <x:xf numFmtId="0" fontId="4" fillId="6" borderId="11" xfId="0" applyNumberFormat="1" applyFont="1" applyFill="1" applyBorder="1" applyAlignment="1">
      <x:alignment horizontal="center"/>
    </x:xf>
    <x:xf numFmtId="0" fontId="4" fillId="6" borderId="13" xfId="0" applyNumberFormat="1" applyFont="1" applyFill="1" applyBorder="1" applyAlignment="1">
      <x:alignment horizontal="center"/>
    </x:xf>
    <x:xf numFmtId="204" fontId="5" fillId="0" borderId="16" xfId="0" applyNumberFormat="1" applyFont="1" applyFill="1" applyBorder="1"/>
    <x:xf numFmtId="204" fontId="5" fillId="0" borderId="19" xfId="0" applyNumberFormat="1" applyFont="1" applyFill="1" applyBorder="1"/>
    <x:xf numFmtId="204" fontId="5" fillId="0" borderId="2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a1e650f474aa1" /><Relationship Type="http://schemas.openxmlformats.org/officeDocument/2006/relationships/theme" Target="/xl/theme/theme1.xml" Id="Rb36b6aa8986f4da8" /><Relationship Type="http://schemas.openxmlformats.org/officeDocument/2006/relationships/sharedStrings" Target="/xl/sharedStrings.xml" Id="R0cacd91f90bd40ba" /><Relationship Type="http://schemas.openxmlformats.org/officeDocument/2006/relationships/worksheet" Target="/xl/worksheets/sheet1.xml" Id="R67765e779ce64bb7" /><Relationship Type="http://schemas.openxmlformats.org/officeDocument/2006/relationships/worksheet" Target="/xl/worksheets/sheet2.xml" Id="Re02ba8832cfe4220" /><Relationship Type="http://schemas.openxmlformats.org/officeDocument/2006/relationships/worksheet" Target="/xl/worksheets/sheet3.xml" Id="R0254bd5ef4764716" /><Relationship Type="http://schemas.openxmlformats.org/officeDocument/2006/relationships/worksheet" Target="/xl/worksheets/sheet4.xml" Id="Rad8758ef6b5c42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fd0c0f9f5541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Arrivals by Hour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Arrivals</c:v>
          </c:tx>
          <c:cat>
            <c:strLit>
              <c:ptCount val="8"/>
              <c:pt idx="0">
                <c:v>08:00</c:v>
              </c:pt>
              <c:pt idx="1">
                <c:v>09:00</c:v>
              </c:pt>
              <c:pt idx="2">
                <c:v>10:00</c:v>
              </c:pt>
              <c:pt idx="3">
                <c:v>11:00</c:v>
              </c:pt>
              <c:pt idx="4">
                <c:v>12:00</c:v>
              </c:pt>
              <c:pt idx="5">
                <c:v>13:00</c:v>
              </c:pt>
              <c:pt idx="6">
                <c:v>14:00</c:v>
              </c:pt>
              <c:pt idx="7">
                <c:v>15:00</c:v>
              </c:pt>
            </c:strLit>
          </c:cat>
          <c:val>
            <c:numLit>
              <c:formatCode/>
              <c:ptCount val="8"/>
              <c:pt idx="0">
                <c:v>83</c:v>
              </c:pt>
              <c:pt idx="1">
                <c:v>58</c:v>
              </c:pt>
              <c:pt idx="2">
                <c:v>51</c:v>
              </c:pt>
              <c:pt idx="3">
                <c:v>32</c:v>
              </c:pt>
              <c:pt idx="4">
                <c:v>23</c:v>
              </c:pt>
              <c:pt idx="5">
                <c:v>71</c:v>
              </c:pt>
              <c:pt idx="6">
                <c:v>42</c:v>
              </c:pt>
              <c:pt idx="7">
                <c:v>40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Hour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Arrival count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24</xdr:row>
      <xdr:rowOff>0</xdr:rowOff>
    </xdr:from>
    <xdr:ext cx="4953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fd0c0f9f5541f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able1" displayName="Table1" ref="A1:N401" headerRowCount="1">
  <x:tableColumns count="14">
    <x:tableColumn id="1" name="date"/>
    <x:tableColumn id="2" name="customer_id"/>
    <x:tableColumn id="3" name="arrival_time"/>
    <x:tableColumn id="4" name="service_start_time"/>
    <x:tableColumn id="5" name="service_end_time"/>
    <x:tableColumn id="6" name="customer_type"/>
    <x:tableColumn id="7" name="service_duration_min"/>
    <x:tableColumn id="8" name="waiting_time_min"/>
    <x:tableColumn id="9" name="time_in_system_min"/>
    <x:tableColumn id="10" name="inter_arrival_min"/>
    <x:tableColumn id="11" name="server_id"/>
    <x:tableColumn id="12" name="queue_length_at_arrival"/>
    <x:tableColumn id="13" name="arrival_hour"/>
    <x:tableColumn id="14" name="arrival_minute_from_open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1:F401" headerRowCount="1">
  <x:tableColumns count="6">
    <x:tableColumn id="1" name="customer_id"/>
    <x:tableColumn id="2" name="date"/>
    <x:tableColumn id="3" name="arrival_minute_from_open"/>
    <x:tableColumn id="4" name="inter_arrival_min"/>
    <x:tableColumn id="5" name="service_duration_min"/>
    <x:tableColumn id="6" name="customer_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df6c0b5f2340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0d52bafe3a45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5e346d567ba465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5" t="str">
        <x:v>Lab Front Desk Queue Simulation Dataset</x:v>
      </x:c>
      <x:c r="B1" s="5" t="str"/>
    </x:row>
    <x:row r="2" ht="30" customHeight="1">
      <x:c r="A2" s="12" t="str">
        <x:v>Purpose</x:v>
      </x:c>
      <x:c r="B2" s="24" t="str">
        <x:v>Synthetic/demo dataset for a G/G/1 empirical-distribution queue simulation.</x:v>
      </x:c>
    </x:row>
    <x:row r="3" ht="30" customHeight="1">
      <x:c r="A3" s="13" t="str">
        <x:v>Important note</x:v>
      </x:c>
      <x:c r="B3" s="25" t="str">
        <x:v>This is fake generated data for demo/testing only. It should not be presented as real collected lab data.</x:v>
      </x:c>
    </x:row>
    <x:row r="4" ht="30" customHeight="1">
      <x:c r="A4" s="13" t="str">
        <x:v>Model</x:v>
      </x:c>
      <x:c r="B4" s="25" t="str">
        <x:v>G/G/1 using empirical distribution: use the observed inter-arrival times and service durations directly from the dataset.</x:v>
      </x:c>
    </x:row>
    <x:row r="5" ht="30" customHeight="1">
      <x:c r="A5" s="13" t="str">
        <x:v>Rows</x:v>
      </x:c>
      <x:c r="B5" s="25" t="str">
        <x:v>400 customer records across 5 working days.</x:v>
      </x:c>
    </x:row>
    <x:row r="6" ht="30" customHeight="1">
      <x:c r="A6" s="13" t="str">
        <x:v>Server</x:v>
      </x:c>
      <x:c r="B6" s="25" t="str">
        <x:v>Single front desk server/counter: FrontDesk-01.</x:v>
      </x:c>
    </x:row>
    <x:row r="7" ht="30" customHeight="1">
      <x:c r="A7" s="13" t="str">
        <x:v>Operating hours</x:v>
      </x:c>
      <x:c r="B7" s="25" t="str">
        <x:v>Arrivals are generated between 08:00 and 16:00. Final service can finish after 16:00 if there is a queue.</x:v>
      </x:c>
    </x:row>
    <x:row r="8" ht="30" customHeight="1">
      <x:c r="A8" s="13" t="str">
        <x:v>Best simulation input</x:v>
      </x:c>
      <x:c r="B8" s="25" t="str">
        <x:v>Use Processed_For_GG1 columns: arrival_minute_from_open, inter_arrival_min, service_duration_min, customer_type.</x:v>
      </x:c>
    </x:row>
    <x:row r="9" ht="30" customHeight="1">
      <x:c r="A9" s="14" t="str">
        <x:v>Customer types</x:v>
      </x:c>
      <x:c r="B9" s="26" t="str">
        <x:v>registration, sample_submission, report_collection, billing_payment, inquiry, appointment_booking.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4" hidden="0" customWidth="1"/>
    <x:col min="12" max="12" width="22" hidden="0" customWidth="1"/>
    <x:col min="13" max="13" width="12" hidden="0" customWidth="1"/>
    <x:col min="14" max="14" width="22" hidden="0" customWidth="1"/>
  </x:cols>
  <x:sheetData>
    <x:row r="1" ht="32" customHeight="1">
      <x:c r="A1" s="45" t="str">
        <x:v>date</x:v>
      </x:c>
      <x:c r="B1" s="46" t="str">
        <x:v>customer_id</x:v>
      </x:c>
      <x:c r="C1" s="46" t="str">
        <x:v>arrival_time</x:v>
      </x:c>
      <x:c r="D1" s="46" t="str">
        <x:v>service_start_time</x:v>
      </x:c>
      <x:c r="E1" s="46" t="str">
        <x:v>service_end_time</x:v>
      </x:c>
      <x:c r="F1" s="46" t="str">
        <x:v>customer_type</x:v>
      </x:c>
      <x:c r="G1" s="46" t="str">
        <x:v>service_duration_min</x:v>
      </x:c>
      <x:c r="H1" s="46" t="str">
        <x:v>waiting_time_min</x:v>
      </x:c>
      <x:c r="I1" s="46" t="str">
        <x:v>time_in_system_min</x:v>
      </x:c>
      <x:c r="J1" s="46" t="str">
        <x:v>inter_arrival_min</x:v>
      </x:c>
      <x:c r="K1" s="46" t="str">
        <x:v>server_id</x:v>
      </x:c>
      <x:c r="L1" s="46" t="str">
        <x:v>queue_length_at_arrival</x:v>
      </x:c>
      <x:c r="M1" s="46" t="str">
        <x:v>arrival_hour</x:v>
      </x:c>
      <x:c r="N1" s="47" t="str">
        <x:v>arrival_minute_from_open</x:v>
      </x:c>
    </x:row>
    <x:row r="2" ht="18" customHeight="1">
      <x:c r="A2" s="100" t="n">
        <x:v>46132</x:v>
      </x:c>
      <x:c r="B2" s="73" t="str">
        <x:v>P0001</x:v>
      </x:c>
      <x:c r="C2" s="106" t="n">
        <x:v>46132.33389349537</x:v>
      </x:c>
      <x:c r="D2" s="106" t="n">
        <x:v>46132.33389349537</x:v>
      </x:c>
      <x:c r="E2" s="106" t="n">
        <x:v>46132.337226828706</x:v>
      </x:c>
      <x:c r="F2" s="73" t="str">
        <x:v>sample_submission</x:v>
      </x:c>
      <x:c r="G2" s="112" t="n">
        <x:f>ROUND((E2-D2)*1440,1)</x:f>
        <x:v>4.8</x:v>
      </x:c>
      <x:c r="H2" s="112" t="n">
        <x:f>ROUND((D2-C2)*1440,1)</x:f>
        <x:v>0</x:v>
      </x:c>
      <x:c r="I2" s="112" t="n">
        <x:f>ROUND((E2-C2)*1440,1)</x:f>
        <x:v>4.8</x:v>
      </x:c>
      <x:c r="J2" s="112" t="n">
        <x:f>0</x:f>
        <x:v>0</x:v>
      </x:c>
      <x:c r="K2" s="73" t="str">
        <x:v>FrontDesk-01</x:v>
      </x:c>
      <x:c r="L2" s="112" t="n">
        <x:f>MAX(0,COUNTIFS($A$2:$A$401,A2,$C$2:$C$401,"&lt;"&amp;C2,$E$2:$E$401,"&gt;"&amp;C2)-1)</x:f>
        <x:v>0</x:v>
      </x:c>
      <x:c r="M2" s="112" t="n">
        <x:f>HOUR(C2)</x:f>
        <x:v>8</x:v>
      </x:c>
      <x:c r="N2" s="118" t="n">
        <x:f>ROUND((C2-A2-TIME(8,0,0))*1440,1)</x:f>
        <x:v>0.8</x:v>
      </x:c>
    </x:row>
    <x:row r="3" ht="18" customHeight="1">
      <x:c r="A3" s="101" t="n">
        <x:v>46132</x:v>
      </x:c>
      <x:c r="B3" s="76" t="str">
        <x:v>P0002</x:v>
      </x:c>
      <x:c r="C3" s="107" t="n">
        <x:v>46132.335559444444</x:v>
      </x:c>
      <x:c r="D3" s="107" t="n">
        <x:v>46132.337226828706</x:v>
      </x:c>
      <x:c r="E3" s="107" t="n">
        <x:v>46132.34014349537</x:v>
      </x:c>
      <x:c r="F3" s="76" t="str">
        <x:v>sample_submission</x:v>
      </x:c>
      <x:c r="G3" s="113" t="n">
        <x:f>ROUND((E3-D3)*1440,1)</x:f>
        <x:v>4.2</x:v>
      </x:c>
      <x:c r="H3" s="113" t="n">
        <x:f>ROUND((D3-C3)*1440,1)</x:f>
        <x:v>2.4</x:v>
      </x:c>
      <x:c r="I3" s="113" t="n">
        <x:f>ROUND((E3-C3)*1440,1)</x:f>
        <x:v>6.6</x:v>
      </x:c>
      <x:c r="J3" s="113" t="n">
        <x:f>IF(A3=A2,ROUND((C3-C2)*1440,1),0)</x:f>
        <x:v>2.4</x:v>
      </x:c>
      <x:c r="K3" s="76" t="str">
        <x:v>FrontDesk-01</x:v>
      </x:c>
      <x:c r="L3" s="113" t="n">
        <x:f>MAX(0,COUNTIFS($A$2:$A$401,A3,$C$2:$C$401,"&lt;"&amp;C3,$E$2:$E$401,"&gt;"&amp;C3)-1)</x:f>
        <x:v>0</x:v>
      </x:c>
      <x:c r="M3" s="113" t="n">
        <x:f>HOUR(C3)</x:f>
        <x:v>8</x:v>
      </x:c>
      <x:c r="N3" s="119" t="n">
        <x:f>ROUND((C3-A3-TIME(8,0,0))*1440,1)</x:f>
        <x:v>3.2</x:v>
      </x:c>
    </x:row>
    <x:row r="4" ht="18" customHeight="1">
      <x:c r="A4" s="101" t="n">
        <x:v>46132</x:v>
      </x:c>
      <x:c r="B4" s="76" t="str">
        <x:v>P0003</x:v>
      </x:c>
      <x:c r="C4" s="107" t="n">
        <x:v>46132.34272678241</x:v>
      </x:c>
      <x:c r="D4" s="107" t="n">
        <x:v>46132.34272678241</x:v>
      </x:c>
      <x:c r="E4" s="107" t="n">
        <x:v>46132.346407337966</x:v>
      </x:c>
      <x:c r="F4" s="76" t="str">
        <x:v>sample_submission</x:v>
      </x:c>
      <x:c r="G4" s="113" t="n">
        <x:f>ROUND((E4-D4)*1440,1)</x:f>
        <x:v>5.3</x:v>
      </x:c>
      <x:c r="H4" s="113" t="n">
        <x:f>ROUND((D4-C4)*1440,1)</x:f>
        <x:v>0</x:v>
      </x:c>
      <x:c r="I4" s="113" t="n">
        <x:f>ROUND((E4-C4)*1440,1)</x:f>
        <x:v>5.3</x:v>
      </x:c>
      <x:c r="J4" s="113" t="n">
        <x:f>IF(A4=A3,ROUND((C4-C3)*1440,1),0)</x:f>
        <x:v>10.3</x:v>
      </x:c>
      <x:c r="K4" s="76" t="str">
        <x:v>FrontDesk-01</x:v>
      </x:c>
      <x:c r="L4" s="113" t="n">
        <x:f>MAX(0,COUNTIFS($A$2:$A$401,A4,$C$2:$C$401,"&lt;"&amp;C4,$E$2:$E$401,"&gt;"&amp;C4)-1)</x:f>
        <x:v>0</x:v>
      </x:c>
      <x:c r="M4" s="113" t="n">
        <x:f>HOUR(C4)</x:f>
        <x:v>8</x:v>
      </x:c>
      <x:c r="N4" s="119" t="n">
        <x:f>ROUND((C4-A4-TIME(8,0,0))*1440,1)</x:f>
        <x:v>13.5</x:v>
      </x:c>
    </x:row>
    <x:row r="5" ht="18" customHeight="1">
      <x:c r="A5" s="101" t="n">
        <x:v>46132</x:v>
      </x:c>
      <x:c r="B5" s="76" t="str">
        <x:v>P0004</x:v>
      </x:c>
      <x:c r="C5" s="107" t="n">
        <x:v>46132.34417988426</x:v>
      </x:c>
      <x:c r="D5" s="107" t="n">
        <x:v>46132.346407337966</x:v>
      </x:c>
      <x:c r="E5" s="107" t="n">
        <x:v>46132.347726782406</x:v>
      </x:c>
      <x:c r="F5" s="76" t="str">
        <x:v>inquiry</x:v>
      </x:c>
      <x:c r="G5" s="113" t="n">
        <x:f>ROUND((E5-D5)*1440,1)</x:f>
        <x:v>1.9</x:v>
      </x:c>
      <x:c r="H5" s="113" t="n">
        <x:f>ROUND((D5-C5)*1440,1)</x:f>
        <x:v>3.2</x:v>
      </x:c>
      <x:c r="I5" s="113" t="n">
        <x:f>ROUND((E5-C5)*1440,1)</x:f>
        <x:v>5.1</x:v>
      </x:c>
      <x:c r="J5" s="113" t="n">
        <x:f>IF(A5=A4,ROUND((C5-C4)*1440,1),0)</x:f>
        <x:v>2.1</x:v>
      </x:c>
      <x:c r="K5" s="76" t="str">
        <x:v>FrontDesk-01</x:v>
      </x:c>
      <x:c r="L5" s="113" t="n">
        <x:f>MAX(0,COUNTIFS($A$2:$A$401,A5,$C$2:$C$401,"&lt;"&amp;C5,$E$2:$E$401,"&gt;"&amp;C5)-1)</x:f>
        <x:v>0</x:v>
      </x:c>
      <x:c r="M5" s="113" t="n">
        <x:f>HOUR(C5)</x:f>
        <x:v>8</x:v>
      </x:c>
      <x:c r="N5" s="119" t="n">
        <x:f>ROUND((C5-A5-TIME(8,0,0))*1440,1)</x:f>
        <x:v>15.6</x:v>
      </x:c>
    </x:row>
    <x:row r="6" ht="18" customHeight="1">
      <x:c r="A6" s="101" t="n">
        <x:v>46132</x:v>
      </x:c>
      <x:c r="B6" s="76" t="str">
        <x:v>P0005</x:v>
      </x:c>
      <x:c r="C6" s="107" t="n">
        <x:v>46132.35431793982</x:v>
      </x:c>
      <x:c r="D6" s="107" t="n">
        <x:v>46132.35431793982</x:v>
      </x:c>
      <x:c r="E6" s="107" t="n">
        <x:v>46132.35626238426</x:v>
      </x:c>
      <x:c r="F6" s="76" t="str">
        <x:v>billing_payment</x:v>
      </x:c>
      <x:c r="G6" s="113" t="n">
        <x:f>ROUND((E6-D6)*1440,1)</x:f>
        <x:v>2.8</x:v>
      </x:c>
      <x:c r="H6" s="113" t="n">
        <x:f>ROUND((D6-C6)*1440,1)</x:f>
        <x:v>0</x:v>
      </x:c>
      <x:c r="I6" s="113" t="n">
        <x:f>ROUND((E6-C6)*1440,1)</x:f>
        <x:v>2.8</x:v>
      </x:c>
      <x:c r="J6" s="113" t="n">
        <x:f>IF(A6=A5,ROUND((C6-C5)*1440,1),0)</x:f>
        <x:v>14.6</x:v>
      </x:c>
      <x:c r="K6" s="76" t="str">
        <x:v>FrontDesk-01</x:v>
      </x:c>
      <x:c r="L6" s="113" t="n">
        <x:f>MAX(0,COUNTIFS($A$2:$A$401,A6,$C$2:$C$401,"&lt;"&amp;C6,$E$2:$E$401,"&gt;"&amp;C6)-1)</x:f>
        <x:v>0</x:v>
      </x:c>
      <x:c r="M6" s="113" t="n">
        <x:f>HOUR(C6)</x:f>
        <x:v>8</x:v>
      </x:c>
      <x:c r="N6" s="119" t="n">
        <x:f>ROUND((C6-A6-TIME(8,0,0))*1440,1)</x:f>
        <x:v>30.2</x:v>
      </x:c>
    </x:row>
    <x:row r="7" ht="18" customHeight="1">
      <x:c r="A7" s="101" t="n">
        <x:v>46132</x:v>
      </x:c>
      <x:c r="B7" s="76" t="str">
        <x:v>P0006</x:v>
      </x:c>
      <x:c r="C7" s="107" t="n">
        <x:v>46132.35709712963</x:v>
      </x:c>
      <x:c r="D7" s="107" t="n">
        <x:v>46132.35709712963</x:v>
      </x:c>
      <x:c r="E7" s="107" t="n">
        <x:v>46132.36036101852</x:v>
      </x:c>
      <x:c r="F7" s="76" t="str">
        <x:v>registration</x:v>
      </x:c>
      <x:c r="G7" s="113" t="n">
        <x:f>ROUND((E7-D7)*1440,1)</x:f>
        <x:v>4.7</x:v>
      </x:c>
      <x:c r="H7" s="113" t="n">
        <x:f>ROUND((D7-C7)*1440,1)</x:f>
        <x:v>0</x:v>
      </x:c>
      <x:c r="I7" s="113" t="n">
        <x:f>ROUND((E7-C7)*1440,1)</x:f>
        <x:v>4.7</x:v>
      </x:c>
      <x:c r="J7" s="113" t="n">
        <x:f>IF(A7=A6,ROUND((C7-C6)*1440,1),0)</x:f>
        <x:v>4</x:v>
      </x:c>
      <x:c r="K7" s="76" t="str">
        <x:v>FrontDesk-01</x:v>
      </x:c>
      <x:c r="L7" s="113" t="n">
        <x:f>MAX(0,COUNTIFS($A$2:$A$401,A7,$C$2:$C$401,"&lt;"&amp;C7,$E$2:$E$401,"&gt;"&amp;C7)-1)</x:f>
        <x:v>0</x:v>
      </x:c>
      <x:c r="M7" s="113" t="n">
        <x:f>HOUR(C7)</x:f>
        <x:v>8</x:v>
      </x:c>
      <x:c r="N7" s="119" t="n">
        <x:f>ROUND((C7-A7-TIME(8,0,0))*1440,1)</x:f>
        <x:v>34.2</x:v>
      </x:c>
    </x:row>
    <x:row r="8" ht="18" customHeight="1">
      <x:c r="A8" s="101" t="n">
        <x:v>46132</x:v>
      </x:c>
      <x:c r="B8" s="76" t="str">
        <x:v>P0007</x:v>
      </x:c>
      <x:c r="C8" s="107" t="n">
        <x:v>46132.36028739583</x:v>
      </x:c>
      <x:c r="D8" s="107" t="n">
        <x:v>46132.36036101852</x:v>
      </x:c>
      <x:c r="E8" s="107" t="n">
        <x:v>46132.36279157407</x:v>
      </x:c>
      <x:c r="F8" s="76" t="str">
        <x:v>registration</x:v>
      </x:c>
      <x:c r="G8" s="113" t="n">
        <x:f>ROUND((E8-D8)*1440,1)</x:f>
        <x:v>3.5</x:v>
      </x:c>
      <x:c r="H8" s="113" t="n">
        <x:f>ROUND((D8-C8)*1440,1)</x:f>
        <x:v>0.1</x:v>
      </x:c>
      <x:c r="I8" s="113" t="n">
        <x:f>ROUND((E8-C8)*1440,1)</x:f>
        <x:v>3.6</x:v>
      </x:c>
      <x:c r="J8" s="113" t="n">
        <x:f>IF(A8=A7,ROUND((C8-C7)*1440,1),0)</x:f>
        <x:v>4.6</x:v>
      </x:c>
      <x:c r="K8" s="76" t="str">
        <x:v>FrontDesk-01</x:v>
      </x:c>
      <x:c r="L8" s="113" t="n">
        <x:f>MAX(0,COUNTIFS($A$2:$A$401,A8,$C$2:$C$401,"&lt;"&amp;C8,$E$2:$E$401,"&gt;"&amp;C8)-1)</x:f>
        <x:v>0</x:v>
      </x:c>
      <x:c r="M8" s="113" t="n">
        <x:f>HOUR(C8)</x:f>
        <x:v>8</x:v>
      </x:c>
      <x:c r="N8" s="119" t="n">
        <x:f>ROUND((C8-A8-TIME(8,0,0))*1440,1)</x:f>
        <x:v>38.8</x:v>
      </x:c>
    </x:row>
    <x:row r="9" ht="18" customHeight="1">
      <x:c r="A9" s="101" t="n">
        <x:v>46132</x:v>
      </x:c>
      <x:c r="B9" s="76" t="str">
        <x:v>P0008</x:v>
      </x:c>
      <x:c r="C9" s="107" t="n">
        <x:v>46132.36216607639</x:v>
      </x:c>
      <x:c r="D9" s="107" t="n">
        <x:v>46132.36279157407</x:v>
      </x:c>
      <x:c r="E9" s="107" t="n">
        <x:v>46132.36716657408</x:v>
      </x:c>
      <x:c r="F9" s="76" t="str">
        <x:v>sample_submission</x:v>
      </x:c>
      <x:c r="G9" s="113" t="n">
        <x:f>ROUND((E9-D9)*1440,1)</x:f>
        <x:v>6.3</x:v>
      </x:c>
      <x:c r="H9" s="113" t="n">
        <x:f>ROUND((D9-C9)*1440,1)</x:f>
        <x:v>0.9</x:v>
      </x:c>
      <x:c r="I9" s="113" t="n">
        <x:f>ROUND((E9-C9)*1440,1)</x:f>
        <x:v>7.2</x:v>
      </x:c>
      <x:c r="J9" s="113" t="n">
        <x:f>IF(A9=A8,ROUND((C9-C8)*1440,1),0)</x:f>
        <x:v>2.7</x:v>
      </x:c>
      <x:c r="K9" s="76" t="str">
        <x:v>FrontDesk-01</x:v>
      </x:c>
      <x:c r="L9" s="113" t="n">
        <x:f>MAX(0,COUNTIFS($A$2:$A$401,A9,$C$2:$C$401,"&lt;"&amp;C9,$E$2:$E$401,"&gt;"&amp;C9)-1)</x:f>
        <x:v>0</x:v>
      </x:c>
      <x:c r="M9" s="113" t="n">
        <x:f>HOUR(C9)</x:f>
        <x:v>8</x:v>
      </x:c>
      <x:c r="N9" s="119" t="n">
        <x:f>ROUND((C9-A9-TIME(8,0,0))*1440,1)</x:f>
        <x:v>41.5</x:v>
      </x:c>
    </x:row>
    <x:row r="10" ht="18" customHeight="1">
      <x:c r="A10" s="101" t="n">
        <x:v>46132</x:v>
      </x:c>
      <x:c r="B10" s="76" t="str">
        <x:v>P0009</x:v>
      </x:c>
      <x:c r="C10" s="107" t="n">
        <x:v>46132.36423569445</x:v>
      </x:c>
      <x:c r="D10" s="107" t="n">
        <x:v>46132.36716657408</x:v>
      </x:c>
      <x:c r="E10" s="107" t="n">
        <x:v>46132.37084712963</x:v>
      </x:c>
      <x:c r="F10" s="76" t="str">
        <x:v>registration</x:v>
      </x:c>
      <x:c r="G10" s="113" t="n">
        <x:f>ROUND((E10-D10)*1440,1)</x:f>
        <x:v>5.3</x:v>
      </x:c>
      <x:c r="H10" s="113" t="n">
        <x:f>ROUND((D10-C10)*1440,1)</x:f>
        <x:v>4.2</x:v>
      </x:c>
      <x:c r="I10" s="113" t="n">
        <x:f>ROUND((E10-C10)*1440,1)</x:f>
        <x:v>9.5</x:v>
      </x:c>
      <x:c r="J10" s="113" t="n">
        <x:f>IF(A10=A9,ROUND((C10-C9)*1440,1),0)</x:f>
        <x:v>3</x:v>
      </x:c>
      <x:c r="K10" s="76" t="str">
        <x:v>FrontDesk-01</x:v>
      </x:c>
      <x:c r="L10" s="113" t="n">
        <x:f>MAX(0,COUNTIFS($A$2:$A$401,A10,$C$2:$C$401,"&lt;"&amp;C10,$E$2:$E$401,"&gt;"&amp;C10)-1)</x:f>
        <x:v>0</x:v>
      </x:c>
      <x:c r="M10" s="113" t="n">
        <x:f>HOUR(C10)</x:f>
        <x:v>8</x:v>
      </x:c>
      <x:c r="N10" s="119" t="n">
        <x:f>ROUND((C10-A10-TIME(8,0,0))*1440,1)</x:f>
        <x:v>44.5</x:v>
      </x:c>
    </x:row>
    <x:row r="11" ht="18" customHeight="1">
      <x:c r="A11" s="101" t="n">
        <x:v>46132</x:v>
      </x:c>
      <x:c r="B11" s="76" t="str">
        <x:v>P0010</x:v>
      </x:c>
      <x:c r="C11" s="107" t="n">
        <x:v>46132.366365925925</x:v>
      </x:c>
      <x:c r="D11" s="107" t="n">
        <x:v>46132.37084712963</x:v>
      </x:c>
      <x:c r="E11" s="107" t="n">
        <x:v>46132.37154157407</x:v>
      </x:c>
      <x:c r="F11" s="76" t="str">
        <x:v>inquiry</x:v>
      </x:c>
      <x:c r="G11" s="113" t="n">
        <x:f>ROUND((E11-D11)*1440,1)</x:f>
        <x:v>1</x:v>
      </x:c>
      <x:c r="H11" s="113" t="n">
        <x:f>ROUND((D11-C11)*1440,1)</x:f>
        <x:v>6.5</x:v>
      </x:c>
      <x:c r="I11" s="113" t="n">
        <x:f>ROUND((E11-C11)*1440,1)</x:f>
        <x:v>7.5</x:v>
      </x:c>
      <x:c r="J11" s="113" t="n">
        <x:f>IF(A11=A10,ROUND((C11-C10)*1440,1),0)</x:f>
        <x:v>3.1</x:v>
      </x:c>
      <x:c r="K11" s="76" t="str">
        <x:v>FrontDesk-01</x:v>
      </x:c>
      <x:c r="L11" s="113" t="n">
        <x:f>MAX(0,COUNTIFS($A$2:$A$401,A11,$C$2:$C$401,"&lt;"&amp;C11,$E$2:$E$401,"&gt;"&amp;C11)-1)</x:f>
        <x:v>1</x:v>
      </x:c>
      <x:c r="M11" s="113" t="n">
        <x:f>HOUR(C11)</x:f>
        <x:v>8</x:v>
      </x:c>
      <x:c r="N11" s="119" t="n">
        <x:f>ROUND((C11-A11-TIME(8,0,0))*1440,1)</x:f>
        <x:v>47.6</x:v>
      </x:c>
    </x:row>
    <x:row r="12" ht="18" customHeight="1">
      <x:c r="A12" s="101" t="n">
        <x:v>46132</x:v>
      </x:c>
      <x:c r="B12" s="76" t="str">
        <x:v>P0011</x:v>
      </x:c>
      <x:c r="C12" s="107" t="n">
        <x:v>46132.36940895834</x:v>
      </x:c>
      <x:c r="D12" s="107" t="n">
        <x:v>46132.37154157407</x:v>
      </x:c>
      <x:c r="E12" s="107" t="n">
        <x:v>46132.374527685184</x:v>
      </x:c>
      <x:c r="F12" s="76" t="str">
        <x:v>registration</x:v>
      </x:c>
      <x:c r="G12" s="113" t="n">
        <x:f>ROUND((E12-D12)*1440,1)</x:f>
        <x:v>4.3</x:v>
      </x:c>
      <x:c r="H12" s="113" t="n">
        <x:f>ROUND((D12-C12)*1440,1)</x:f>
        <x:v>3.1</x:v>
      </x:c>
      <x:c r="I12" s="113" t="n">
        <x:f>ROUND((E12-C12)*1440,1)</x:f>
        <x:v>7.4</x:v>
      </x:c>
      <x:c r="J12" s="113" t="n">
        <x:f>IF(A12=A11,ROUND((C12-C11)*1440,1),0)</x:f>
        <x:v>4.4</x:v>
      </x:c>
      <x:c r="K12" s="76" t="str">
        <x:v>FrontDesk-01</x:v>
      </x:c>
      <x:c r="L12" s="113" t="n">
        <x:f>MAX(0,COUNTIFS($A$2:$A$401,A12,$C$2:$C$401,"&lt;"&amp;C12,$E$2:$E$401,"&gt;"&amp;C12)-1)</x:f>
        <x:v>1</x:v>
      </x:c>
      <x:c r="M12" s="113" t="n">
        <x:f>HOUR(C12)</x:f>
        <x:v>8</x:v>
      </x:c>
      <x:c r="N12" s="119" t="n">
        <x:f>ROUND((C12-A12-TIME(8,0,0))*1440,1)</x:f>
        <x:v>51.9</x:v>
      </x:c>
    </x:row>
    <x:row r="13" ht="18" customHeight="1">
      <x:c r="A13" s="101" t="n">
        <x:v>46132</x:v>
      </x:c>
      <x:c r="B13" s="76" t="str">
        <x:v>P0012</x:v>
      </x:c>
      <x:c r="C13" s="107" t="n">
        <x:v>46132.370356203704</x:v>
      </x:c>
      <x:c r="D13" s="107" t="n">
        <x:v>46132.374527685184</x:v>
      </x:c>
      <x:c r="E13" s="107" t="n">
        <x:v>46132.37765268519</x:v>
      </x:c>
      <x:c r="F13" s="76" t="str">
        <x:v>registration</x:v>
      </x:c>
      <x:c r="G13" s="113" t="n">
        <x:f>ROUND((E13-D13)*1440,1)</x:f>
        <x:v>4.5</x:v>
      </x:c>
      <x:c r="H13" s="113" t="n">
        <x:f>ROUND((D13-C13)*1440,1)</x:f>
        <x:v>6</x:v>
      </x:c>
      <x:c r="I13" s="113" t="n">
        <x:f>ROUND((E13-C13)*1440,1)</x:f>
        <x:v>10.5</x:v>
      </x:c>
      <x:c r="J13" s="113" t="n">
        <x:f>IF(A13=A12,ROUND((C13-C12)*1440,1),0)</x:f>
        <x:v>1.4</x:v>
      </x:c>
      <x:c r="K13" s="76" t="str">
        <x:v>FrontDesk-01</x:v>
      </x:c>
      <x:c r="L13" s="113" t="n">
        <x:f>MAX(0,COUNTIFS($A$2:$A$401,A13,$C$2:$C$401,"&lt;"&amp;C13,$E$2:$E$401,"&gt;"&amp;C13)-1)</x:f>
        <x:v>2</x:v>
      </x:c>
      <x:c r="M13" s="113" t="n">
        <x:f>HOUR(C13)</x:f>
        <x:v>8</x:v>
      </x:c>
      <x:c r="N13" s="119" t="n">
        <x:f>ROUND((C13-A13-TIME(8,0,0))*1440,1)</x:f>
        <x:v>53.3</x:v>
      </x:c>
    </x:row>
    <x:row r="14" ht="18" customHeight="1">
      <x:c r="A14" s="101" t="n">
        <x:v>46132</x:v>
      </x:c>
      <x:c r="B14" s="76" t="str">
        <x:v>P0013</x:v>
      </x:c>
      <x:c r="C14" s="107" t="n">
        <x:v>46132.372807708336</x:v>
      </x:c>
      <x:c r="D14" s="107" t="n">
        <x:v>46132.37765268519</x:v>
      </x:c>
      <x:c r="E14" s="107" t="n">
        <x:v>46132.382236018515</x:v>
      </x:c>
      <x:c r="F14" s="76" t="str">
        <x:v>sample_submission</x:v>
      </x:c>
      <x:c r="G14" s="113" t="n">
        <x:f>ROUND((E14-D14)*1440,1)</x:f>
        <x:v>6.6</x:v>
      </x:c>
      <x:c r="H14" s="113" t="n">
        <x:f>ROUND((D14-C14)*1440,1)</x:f>
        <x:v>7</x:v>
      </x:c>
      <x:c r="I14" s="113" t="n">
        <x:f>ROUND((E14-C14)*1440,1)</x:f>
        <x:v>13.6</x:v>
      </x:c>
      <x:c r="J14" s="113" t="n">
        <x:f>IF(A14=A13,ROUND((C14-C13)*1440,1),0)</x:f>
        <x:v>3.5</x:v>
      </x:c>
      <x:c r="K14" s="76" t="str">
        <x:v>FrontDesk-01</x:v>
      </x:c>
      <x:c r="L14" s="113" t="n">
        <x:f>MAX(0,COUNTIFS($A$2:$A$401,A14,$C$2:$C$401,"&lt;"&amp;C14,$E$2:$E$401,"&gt;"&amp;C14)-1)</x:f>
        <x:v>1</x:v>
      </x:c>
      <x:c r="M14" s="113" t="n">
        <x:f>HOUR(C14)</x:f>
        <x:v>8</x:v>
      </x:c>
      <x:c r="N14" s="119" t="n">
        <x:f>ROUND((C14-A14-TIME(8,0,0))*1440,1)</x:f>
        <x:v>56.8</x:v>
      </x:c>
    </x:row>
    <x:row r="15" ht="18" customHeight="1">
      <x:c r="A15" s="101" t="n">
        <x:v>46132</x:v>
      </x:c>
      <x:c r="B15" s="76" t="str">
        <x:v>P0014</x:v>
      </x:c>
      <x:c r="C15" s="107" t="n">
        <x:v>46132.37345479167</x:v>
      </x:c>
      <x:c r="D15" s="107" t="n">
        <x:v>46132.382236018515</x:v>
      </x:c>
      <x:c r="E15" s="107" t="n">
        <x:v>46132.38466657407</x:v>
      </x:c>
      <x:c r="F15" s="76" t="str">
        <x:v>registration</x:v>
      </x:c>
      <x:c r="G15" s="113" t="n">
        <x:f>ROUND((E15-D15)*1440,1)</x:f>
        <x:v>3.5</x:v>
      </x:c>
      <x:c r="H15" s="113" t="n">
        <x:f>ROUND((D15-C15)*1440,1)</x:f>
        <x:v>12.6</x:v>
      </x:c>
      <x:c r="I15" s="113" t="n">
        <x:f>ROUND((E15-C15)*1440,1)</x:f>
        <x:v>16.1</x:v>
      </x:c>
      <x:c r="J15" s="113" t="n">
        <x:f>IF(A15=A14,ROUND((C15-C14)*1440,1),0)</x:f>
        <x:v>0.9</x:v>
      </x:c>
      <x:c r="K15" s="76" t="str">
        <x:v>FrontDesk-01</x:v>
      </x:c>
      <x:c r="L15" s="113" t="n">
        <x:f>MAX(0,COUNTIFS($A$2:$A$401,A15,$C$2:$C$401,"&lt;"&amp;C15,$E$2:$E$401,"&gt;"&amp;C15)-1)</x:f>
        <x:v>2</x:v>
      </x:c>
      <x:c r="M15" s="113" t="n">
        <x:f>HOUR(C15)</x:f>
        <x:v>8</x:v>
      </x:c>
      <x:c r="N15" s="119" t="n">
        <x:f>ROUND((C15-A15-TIME(8,0,0))*1440,1)</x:f>
        <x:v>57.8</x:v>
      </x:c>
    </x:row>
    <x:row r="16" ht="18" customHeight="1">
      <x:c r="A16" s="101" t="n">
        <x:v>46132</x:v>
      </x:c>
      <x:c r="B16" s="76" t="str">
        <x:v>P0015</x:v>
      </x:c>
      <x:c r="C16" s="107" t="n">
        <x:v>46132.373905949076</x:v>
      </x:c>
      <x:c r="D16" s="107" t="n">
        <x:v>46132.38466657407</x:v>
      </x:c>
      <x:c r="E16" s="107" t="n">
        <x:v>46132.38681935185</x:v>
      </x:c>
      <x:c r="F16" s="76" t="str">
        <x:v>registration</x:v>
      </x:c>
      <x:c r="G16" s="113" t="n">
        <x:f>ROUND((E16-D16)*1440,1)</x:f>
        <x:v>3.1</x:v>
      </x:c>
      <x:c r="H16" s="113" t="n">
        <x:f>ROUND((D16-C16)*1440,1)</x:f>
        <x:v>15.5</x:v>
      </x:c>
      <x:c r="I16" s="113" t="n">
        <x:f>ROUND((E16-C16)*1440,1)</x:f>
        <x:v>18.6</x:v>
      </x:c>
      <x:c r="J16" s="113" t="n">
        <x:f>IF(A16=A15,ROUND((C16-C15)*1440,1),0)</x:f>
        <x:v>0.6</x:v>
      </x:c>
      <x:c r="K16" s="76" t="str">
        <x:v>FrontDesk-01</x:v>
      </x:c>
      <x:c r="L16" s="113" t="n">
        <x:f>MAX(0,COUNTIFS($A$2:$A$401,A16,$C$2:$C$401,"&lt;"&amp;C16,$E$2:$E$401,"&gt;"&amp;C16)-1)</x:f>
        <x:v>3</x:v>
      </x:c>
      <x:c r="M16" s="113" t="n">
        <x:f>HOUR(C16)</x:f>
        <x:v>8</x:v>
      </x:c>
      <x:c r="N16" s="119" t="n">
        <x:f>ROUND((C16-A16-TIME(8,0,0))*1440,1)</x:f>
        <x:v>58.4</x:v>
      </x:c>
    </x:row>
    <x:row r="17" ht="18" customHeight="1">
      <x:c r="A17" s="101" t="n">
        <x:v>46132</x:v>
      </x:c>
      <x:c r="B17" s="76" t="str">
        <x:v>P0016</x:v>
      </x:c>
      <x:c r="C17" s="107" t="n">
        <x:v>46132.375988657404</x:v>
      </x:c>
      <x:c r="D17" s="107" t="n">
        <x:v>46132.38681935185</x:v>
      </x:c>
      <x:c r="E17" s="107" t="n">
        <x:v>46132.38834712963</x:v>
      </x:c>
      <x:c r="F17" s="76" t="str">
        <x:v>billing_payment</x:v>
      </x:c>
      <x:c r="G17" s="113" t="n">
        <x:f>ROUND((E17-D17)*1440,1)</x:f>
        <x:v>2.2</x:v>
      </x:c>
      <x:c r="H17" s="113" t="n">
        <x:f>ROUND((D17-C17)*1440,1)</x:f>
        <x:v>15.6</x:v>
      </x:c>
      <x:c r="I17" s="113" t="n">
        <x:f>ROUND((E17-C17)*1440,1)</x:f>
        <x:v>17.8</x:v>
      </x:c>
      <x:c r="J17" s="113" t="n">
        <x:f>IF(A17=A16,ROUND((C17-C16)*1440,1),0)</x:f>
        <x:v>3</x:v>
      </x:c>
      <x:c r="K17" s="76" t="str">
        <x:v>FrontDesk-01</x:v>
      </x:c>
      <x:c r="L17" s="113" t="n">
        <x:f>MAX(0,COUNTIFS($A$2:$A$401,A17,$C$2:$C$401,"&lt;"&amp;C17,$E$2:$E$401,"&gt;"&amp;C17)-1)</x:f>
        <x:v>3</x:v>
      </x:c>
      <x:c r="M17" s="113" t="n">
        <x:f>HOUR(C17)</x:f>
        <x:v>9</x:v>
      </x:c>
      <x:c r="N17" s="119" t="n">
        <x:f>ROUND((C17-A17-TIME(8,0,0))*1440,1)</x:f>
        <x:v>61.4</x:v>
      </x:c>
    </x:row>
    <x:row r="18" ht="18" customHeight="1">
      <x:c r="A18" s="101" t="n">
        <x:v>46132</x:v>
      </x:c>
      <x:c r="B18" s="76" t="str">
        <x:v>P0017</x:v>
      </x:c>
      <x:c r="C18" s="107" t="n">
        <x:v>46132.38117581019</x:v>
      </x:c>
      <x:c r="D18" s="107" t="n">
        <x:v>46132.38834712963</x:v>
      </x:c>
      <x:c r="E18" s="107" t="n">
        <x:v>46132.3906387963</x:v>
      </x:c>
      <x:c r="F18" s="76" t="str">
        <x:v>billing_payment</x:v>
      </x:c>
      <x:c r="G18" s="113" t="n">
        <x:f>ROUND((E18-D18)*1440,1)</x:f>
        <x:v>3.3</x:v>
      </x:c>
      <x:c r="H18" s="113" t="n">
        <x:f>ROUND((D18-C18)*1440,1)</x:f>
        <x:v>10.3</x:v>
      </x:c>
      <x:c r="I18" s="113" t="n">
        <x:f>ROUND((E18-C18)*1440,1)</x:f>
        <x:v>13.6</x:v>
      </x:c>
      <x:c r="J18" s="113" t="n">
        <x:f>IF(A18=A17,ROUND((C18-C17)*1440,1),0)</x:f>
        <x:v>7.5</x:v>
      </x:c>
      <x:c r="K18" s="76" t="str">
        <x:v>FrontDesk-01</x:v>
      </x:c>
      <x:c r="L18" s="113" t="n">
        <x:f>MAX(0,COUNTIFS($A$2:$A$401,A18,$C$2:$C$401,"&lt;"&amp;C18,$E$2:$E$401,"&gt;"&amp;C18)-1)</x:f>
        <x:v>3</x:v>
      </x:c>
      <x:c r="M18" s="113" t="n">
        <x:f>HOUR(C18)</x:f>
        <x:v>9</x:v>
      </x:c>
      <x:c r="N18" s="119" t="n">
        <x:f>ROUND((C18-A18-TIME(8,0,0))*1440,1)</x:f>
        <x:v>68.9</x:v>
      </x:c>
    </x:row>
    <x:row r="19" ht="18" customHeight="1">
      <x:c r="A19" s="101" t="n">
        <x:v>46132</x:v>
      </x:c>
      <x:c r="B19" s="76" t="str">
        <x:v>P0018</x:v>
      </x:c>
      <x:c r="C19" s="107" t="n">
        <x:v>46132.38977436342</x:v>
      </x:c>
      <x:c r="D19" s="107" t="n">
        <x:v>46132.3906387963</x:v>
      </x:c>
      <x:c r="E19" s="107" t="n">
        <x:v>46132.39105546296</x:v>
      </x:c>
      <x:c r="F19" s="76" t="str">
        <x:v>inquiry</x:v>
      </x:c>
      <x:c r="G19" s="113" t="n">
        <x:f>ROUND((E19-D19)*1440,1)</x:f>
        <x:v>0.6</x:v>
      </x:c>
      <x:c r="H19" s="113" t="n">
        <x:f>ROUND((D19-C19)*1440,1)</x:f>
        <x:v>1.2</x:v>
      </x:c>
      <x:c r="I19" s="113" t="n">
        <x:f>ROUND((E19-C19)*1440,1)</x:f>
        <x:v>1.8</x:v>
      </x:c>
      <x:c r="J19" s="113" t="n">
        <x:f>IF(A19=A18,ROUND((C19-C18)*1440,1),0)</x:f>
        <x:v>12.4</x:v>
      </x:c>
      <x:c r="K19" s="76" t="str">
        <x:v>FrontDesk-01</x:v>
      </x:c>
      <x:c r="L19" s="113" t="n">
        <x:f>MAX(0,COUNTIFS($A$2:$A$401,A19,$C$2:$C$401,"&lt;"&amp;C19,$E$2:$E$401,"&gt;"&amp;C19)-1)</x:f>
        <x:v>0</x:v>
      </x:c>
      <x:c r="M19" s="113" t="n">
        <x:f>HOUR(C19)</x:f>
        <x:v>9</x:v>
      </x:c>
      <x:c r="N19" s="119" t="n">
        <x:f>ROUND((C19-A19-TIME(8,0,0))*1440,1)</x:f>
        <x:v>81.3</x:v>
      </x:c>
    </x:row>
    <x:row r="20" ht="18" customHeight="1">
      <x:c r="A20" s="101" t="n">
        <x:v>46132</x:v>
      </x:c>
      <x:c r="B20" s="76" t="str">
        <x:v>P0019</x:v>
      </x:c>
      <x:c r="C20" s="107" t="n">
        <x:v>46132.391101030094</x:v>
      </x:c>
      <x:c r="D20" s="107" t="n">
        <x:v>46132.391101030094</x:v>
      </x:c>
      <x:c r="E20" s="107" t="n">
        <x:v>46132.39394825231</x:v>
      </x:c>
      <x:c r="F20" s="76" t="str">
        <x:v>billing_payment</x:v>
      </x:c>
      <x:c r="G20" s="113" t="n">
        <x:f>ROUND((E20-D20)*1440,1)</x:f>
        <x:v>4.1</x:v>
      </x:c>
      <x:c r="H20" s="113" t="n">
        <x:f>ROUND((D20-C20)*1440,1)</x:f>
        <x:v>0</x:v>
      </x:c>
      <x:c r="I20" s="113" t="n">
        <x:f>ROUND((E20-C20)*1440,1)</x:f>
        <x:v>4.1</x:v>
      </x:c>
      <x:c r="J20" s="113" t="n">
        <x:f>IF(A20=A19,ROUND((C20-C19)*1440,1),0)</x:f>
        <x:v>1.9</x:v>
      </x:c>
      <x:c r="K20" s="76" t="str">
        <x:v>FrontDesk-01</x:v>
      </x:c>
      <x:c r="L20" s="113" t="n">
        <x:f>MAX(0,COUNTIFS($A$2:$A$401,A20,$C$2:$C$401,"&lt;"&amp;C20,$E$2:$E$401,"&gt;"&amp;C20)-1)</x:f>
        <x:v>0</x:v>
      </x:c>
      <x:c r="M20" s="113" t="n">
        <x:f>HOUR(C20)</x:f>
        <x:v>9</x:v>
      </x:c>
      <x:c r="N20" s="119" t="n">
        <x:f>ROUND((C20-A20-TIME(8,0,0))*1440,1)</x:f>
        <x:v>83.2</x:v>
      </x:c>
    </x:row>
    <x:row r="21" ht="18" customHeight="1">
      <x:c r="A21" s="101" t="n">
        <x:v>46132</x:v>
      </x:c>
      <x:c r="B21" s="76" t="str">
        <x:v>P0020</x:v>
      </x:c>
      <x:c r="C21" s="107" t="n">
        <x:v>46132.39128119213</x:v>
      </x:c>
      <x:c r="D21" s="107" t="n">
        <x:v>46132.39394825231</x:v>
      </x:c>
      <x:c r="E21" s="107" t="n">
        <x:v>46132.39735103009</x:v>
      </x:c>
      <x:c r="F21" s="76" t="str">
        <x:v>sample_submission</x:v>
      </x:c>
      <x:c r="G21" s="113" t="n">
        <x:f>ROUND((E21-D21)*1440,1)</x:f>
        <x:v>4.9</x:v>
      </x:c>
      <x:c r="H21" s="113" t="n">
        <x:f>ROUND((D21-C21)*1440,1)</x:f>
        <x:v>3.8</x:v>
      </x:c>
      <x:c r="I21" s="113" t="n">
        <x:f>ROUND((E21-C21)*1440,1)</x:f>
        <x:v>8.7</x:v>
      </x:c>
      <x:c r="J21" s="113" t="n">
        <x:f>IF(A21=A20,ROUND((C21-C20)*1440,1),0)</x:f>
        <x:v>0.3</x:v>
      </x:c>
      <x:c r="K21" s="76" t="str">
        <x:v>FrontDesk-01</x:v>
      </x:c>
      <x:c r="L21" s="113" t="n">
        <x:f>MAX(0,COUNTIFS($A$2:$A$401,A21,$C$2:$C$401,"&lt;"&amp;C21,$E$2:$E$401,"&gt;"&amp;C21)-1)</x:f>
        <x:v>0</x:v>
      </x:c>
      <x:c r="M21" s="113" t="n">
        <x:f>HOUR(C21)</x:f>
        <x:v>9</x:v>
      </x:c>
      <x:c r="N21" s="119" t="n">
        <x:f>ROUND((C21-A21-TIME(8,0,0))*1440,1)</x:f>
        <x:v>83.4</x:v>
      </x:c>
    </x:row>
    <x:row r="22" ht="18" customHeight="1">
      <x:c r="A22" s="101" t="n">
        <x:v>46132</x:v>
      </x:c>
      <x:c r="B22" s="76" t="str">
        <x:v>P0021</x:v>
      </x:c>
      <x:c r="C22" s="107" t="n">
        <x:v>46132.391420277774</x:v>
      </x:c>
      <x:c r="D22" s="107" t="n">
        <x:v>46132.39735103009</x:v>
      </x:c>
      <x:c r="E22" s="107" t="n">
        <x:v>46132.39867047454</x:v>
      </x:c>
      <x:c r="F22" s="76" t="str">
        <x:v>report_collection</x:v>
      </x:c>
      <x:c r="G22" s="113" t="n">
        <x:f>ROUND((E22-D22)*1440,1)</x:f>
        <x:v>1.9</x:v>
      </x:c>
      <x:c r="H22" s="113" t="n">
        <x:f>ROUND((D22-C22)*1440,1)</x:f>
        <x:v>8.5</x:v>
      </x:c>
      <x:c r="I22" s="113" t="n">
        <x:f>ROUND((E22-C22)*1440,1)</x:f>
        <x:v>10.4</x:v>
      </x:c>
      <x:c r="J22" s="113" t="n">
        <x:f>IF(A22=A21,ROUND((C22-C21)*1440,1),0)</x:f>
        <x:v>0.2</x:v>
      </x:c>
      <x:c r="K22" s="76" t="str">
        <x:v>FrontDesk-01</x:v>
      </x:c>
      <x:c r="L22" s="113" t="n">
        <x:f>MAX(0,COUNTIFS($A$2:$A$401,A22,$C$2:$C$401,"&lt;"&amp;C22,$E$2:$E$401,"&gt;"&amp;C22)-1)</x:f>
        <x:v>1</x:v>
      </x:c>
      <x:c r="M22" s="113" t="n">
        <x:f>HOUR(C22)</x:f>
        <x:v>9</x:v>
      </x:c>
      <x:c r="N22" s="119" t="n">
        <x:f>ROUND((C22-A22-TIME(8,0,0))*1440,1)</x:f>
        <x:v>83.6</x:v>
      </x:c>
    </x:row>
    <x:row r="23" ht="18" customHeight="1">
      <x:c r="A23" s="101" t="n">
        <x:v>46132</x:v>
      </x:c>
      <x:c r="B23" s="76" t="str">
        <x:v>P0022</x:v>
      </x:c>
      <x:c r="C23" s="107" t="n">
        <x:v>46132.39205988426</x:v>
      </x:c>
      <x:c r="D23" s="107" t="n">
        <x:v>46132.39867047454</x:v>
      </x:c>
      <x:c r="E23" s="107" t="n">
        <x:v>46132.401587141205</x:v>
      </x:c>
      <x:c r="F23" s="76" t="str">
        <x:v>sample_submission</x:v>
      </x:c>
      <x:c r="G23" s="113" t="n">
        <x:f>ROUND((E23-D23)*1440,1)</x:f>
        <x:v>4.2</x:v>
      </x:c>
      <x:c r="H23" s="113" t="n">
        <x:f>ROUND((D23-C23)*1440,1)</x:f>
        <x:v>9.5</x:v>
      </x:c>
      <x:c r="I23" s="113" t="n">
        <x:f>ROUND((E23-C23)*1440,1)</x:f>
        <x:v>13.7</x:v>
      </x:c>
      <x:c r="J23" s="113" t="n">
        <x:f>IF(A23=A22,ROUND((C23-C22)*1440,1),0)</x:f>
        <x:v>0.9</x:v>
      </x:c>
      <x:c r="K23" s="76" t="str">
        <x:v>FrontDesk-01</x:v>
      </x:c>
      <x:c r="L23" s="113" t="n">
        <x:f>MAX(0,COUNTIFS($A$2:$A$401,A23,$C$2:$C$401,"&lt;"&amp;C23,$E$2:$E$401,"&gt;"&amp;C23)-1)</x:f>
        <x:v>2</x:v>
      </x:c>
      <x:c r="M23" s="113" t="n">
        <x:f>HOUR(C23)</x:f>
        <x:v>9</x:v>
      </x:c>
      <x:c r="N23" s="119" t="n">
        <x:f>ROUND((C23-A23-TIME(8,0,0))*1440,1)</x:f>
        <x:v>84.6</x:v>
      </x:c>
    </x:row>
    <x:row r="24" ht="18" customHeight="1">
      <x:c r="A24" s="101" t="n">
        <x:v>46132</x:v>
      </x:c>
      <x:c r="B24" s="76" t="str">
        <x:v>P0023</x:v>
      </x:c>
      <x:c r="C24" s="107" t="n">
        <x:v>46132.39271373842</x:v>
      </x:c>
      <x:c r="D24" s="107" t="n">
        <x:v>46132.401587141205</x:v>
      </x:c>
      <x:c r="E24" s="107" t="n">
        <x:v>46132.40492047454</x:v>
      </x:c>
      <x:c r="F24" s="76" t="str">
        <x:v>sample_submission</x:v>
      </x:c>
      <x:c r="G24" s="113" t="n">
        <x:f>ROUND((E24-D24)*1440,1)</x:f>
        <x:v>4.8</x:v>
      </x:c>
      <x:c r="H24" s="113" t="n">
        <x:f>ROUND((D24-C24)*1440,1)</x:f>
        <x:v>12.8</x:v>
      </x:c>
      <x:c r="I24" s="113" t="n">
        <x:f>ROUND((E24-C24)*1440,1)</x:f>
        <x:v>17.6</x:v>
      </x:c>
      <x:c r="J24" s="113" t="n">
        <x:f>IF(A24=A23,ROUND((C24-C23)*1440,1),0)</x:f>
        <x:v>0.9</x:v>
      </x:c>
      <x:c r="K24" s="76" t="str">
        <x:v>FrontDesk-01</x:v>
      </x:c>
      <x:c r="L24" s="113" t="n">
        <x:f>MAX(0,COUNTIFS($A$2:$A$401,A24,$C$2:$C$401,"&lt;"&amp;C24,$E$2:$E$401,"&gt;"&amp;C24)-1)</x:f>
        <x:v>3</x:v>
      </x:c>
      <x:c r="M24" s="113" t="n">
        <x:f>HOUR(C24)</x:f>
        <x:v>9</x:v>
      </x:c>
      <x:c r="N24" s="119" t="n">
        <x:f>ROUND((C24-A24-TIME(8,0,0))*1440,1)</x:f>
        <x:v>85.5</x:v>
      </x:c>
    </x:row>
    <x:row r="25" ht="18" customHeight="1">
      <x:c r="A25" s="101" t="n">
        <x:v>46132</x:v>
      </x:c>
      <x:c r="B25" s="76" t="str">
        <x:v>P0024</x:v>
      </x:c>
      <x:c r="C25" s="107" t="n">
        <x:v>46132.395216006946</x:v>
      </x:c>
      <x:c r="D25" s="107" t="n">
        <x:v>46132.40492047454</x:v>
      </x:c>
      <x:c r="E25" s="107" t="n">
        <x:v>46132.40748991898</x:v>
      </x:c>
      <x:c r="F25" s="76" t="str">
        <x:v>registration</x:v>
      </x:c>
      <x:c r="G25" s="113" t="n">
        <x:f>ROUND((E25-D25)*1440,1)</x:f>
        <x:v>3.7</x:v>
      </x:c>
      <x:c r="H25" s="113" t="n">
        <x:f>ROUND((D25-C25)*1440,1)</x:f>
        <x:v>14</x:v>
      </x:c>
      <x:c r="I25" s="113" t="n">
        <x:f>ROUND((E25-C25)*1440,1)</x:f>
        <x:v>17.7</x:v>
      </x:c>
      <x:c r="J25" s="113" t="n">
        <x:f>IF(A25=A24,ROUND((C25-C24)*1440,1),0)</x:f>
        <x:v>3.6</x:v>
      </x:c>
      <x:c r="K25" s="76" t="str">
        <x:v>FrontDesk-01</x:v>
      </x:c>
      <x:c r="L25" s="113" t="n">
        <x:f>MAX(0,COUNTIFS($A$2:$A$401,A25,$C$2:$C$401,"&lt;"&amp;C25,$E$2:$E$401,"&gt;"&amp;C25)-1)</x:f>
        <x:v>3</x:v>
      </x:c>
      <x:c r="M25" s="113" t="n">
        <x:f>HOUR(C25)</x:f>
        <x:v>9</x:v>
      </x:c>
      <x:c r="N25" s="119" t="n">
        <x:f>ROUND((C25-A25-TIME(8,0,0))*1440,1)</x:f>
        <x:v>89.1</x:v>
      </x:c>
    </x:row>
    <x:row r="26" ht="18" customHeight="1">
      <x:c r="A26" s="101" t="n">
        <x:v>46132</x:v>
      </x:c>
      <x:c r="B26" s="76" t="str">
        <x:v>P0025</x:v>
      </x:c>
      <x:c r="C26" s="107" t="n">
        <x:v>46132.39668489583</x:v>
      </x:c>
      <x:c r="D26" s="107" t="n">
        <x:v>46132.40748991898</x:v>
      </x:c>
      <x:c r="E26" s="107" t="n">
        <x:v>46132.41179547454</x:v>
      </x:c>
      <x:c r="F26" s="76" t="str">
        <x:v>registration</x:v>
      </x:c>
      <x:c r="G26" s="113" t="n">
        <x:f>ROUND((E26-D26)*1440,1)</x:f>
        <x:v>6.2</x:v>
      </x:c>
      <x:c r="H26" s="113" t="n">
        <x:f>ROUND((D26-C26)*1440,1)</x:f>
        <x:v>15.6</x:v>
      </x:c>
      <x:c r="I26" s="113" t="n">
        <x:f>ROUND((E26-C26)*1440,1)</x:f>
        <x:v>21.8</x:v>
      </x:c>
      <x:c r="J26" s="113" t="n">
        <x:f>IF(A26=A25,ROUND((C26-C25)*1440,1),0)</x:f>
        <x:v>2.1</x:v>
      </x:c>
      <x:c r="K26" s="76" t="str">
        <x:v>FrontDesk-01</x:v>
      </x:c>
      <x:c r="L26" s="113" t="n">
        <x:f>MAX(0,COUNTIFS($A$2:$A$401,A26,$C$2:$C$401,"&lt;"&amp;C26,$E$2:$E$401,"&gt;"&amp;C26)-1)</x:f>
        <x:v>4</x:v>
      </x:c>
      <x:c r="M26" s="113" t="n">
        <x:f>HOUR(C26)</x:f>
        <x:v>9</x:v>
      </x:c>
      <x:c r="N26" s="119" t="n">
        <x:f>ROUND((C26-A26-TIME(8,0,0))*1440,1)</x:f>
        <x:v>91.2</x:v>
      </x:c>
    </x:row>
    <x:row r="27" ht="18" customHeight="1">
      <x:c r="A27" s="101" t="n">
        <x:v>46132</x:v>
      </x:c>
      <x:c r="B27" s="76" t="str">
        <x:v>P0026</x:v>
      </x:c>
      <x:c r="C27" s="107" t="n">
        <x:v>46132.396991863425</x:v>
      </x:c>
      <x:c r="D27" s="107" t="n">
        <x:v>46132.41179547454</x:v>
      </x:c>
      <x:c r="E27" s="107" t="n">
        <x:v>46132.4159621412</x:v>
      </x:c>
      <x:c r="F27" s="76" t="str">
        <x:v>registration</x:v>
      </x:c>
      <x:c r="G27" s="113" t="n">
        <x:f>ROUND((E27-D27)*1440,1)</x:f>
        <x:v>6</x:v>
      </x:c>
      <x:c r="H27" s="113" t="n">
        <x:f>ROUND((D27-C27)*1440,1)</x:f>
        <x:v>21.3</x:v>
      </x:c>
      <x:c r="I27" s="113" t="n">
        <x:f>ROUND((E27-C27)*1440,1)</x:f>
        <x:v>27.3</x:v>
      </x:c>
      <x:c r="J27" s="113" t="n">
        <x:f>IF(A27=A26,ROUND((C27-C26)*1440,1),0)</x:f>
        <x:v>0.4</x:v>
      </x:c>
      <x:c r="K27" s="76" t="str">
        <x:v>FrontDesk-01</x:v>
      </x:c>
      <x:c r="L27" s="113" t="n">
        <x:f>MAX(0,COUNTIFS($A$2:$A$401,A27,$C$2:$C$401,"&lt;"&amp;C27,$E$2:$E$401,"&gt;"&amp;C27)-1)</x:f>
        <x:v>5</x:v>
      </x:c>
      <x:c r="M27" s="113" t="n">
        <x:f>HOUR(C27)</x:f>
        <x:v>9</x:v>
      </x:c>
      <x:c r="N27" s="119" t="n">
        <x:f>ROUND((C27-A27-TIME(8,0,0))*1440,1)</x:f>
        <x:v>91.7</x:v>
      </x:c>
    </x:row>
    <x:row r="28" ht="18" customHeight="1">
      <x:c r="A28" s="101" t="n">
        <x:v>46132</x:v>
      </x:c>
      <x:c r="B28" s="76" t="str">
        <x:v>P0027</x:v>
      </x:c>
      <x:c r="C28" s="107" t="n">
        <x:v>46132.39831625</x:v>
      </x:c>
      <x:c r="D28" s="107" t="n">
        <x:v>46132.4159621412</x:v>
      </x:c>
      <x:c r="E28" s="107" t="n">
        <x:v>46132.416795474535</x:v>
      </x:c>
      <x:c r="F28" s="76" t="str">
        <x:v>report_collection</x:v>
      </x:c>
      <x:c r="G28" s="113" t="n">
        <x:f>ROUND((E28-D28)*1440,1)</x:f>
        <x:v>1.2</x:v>
      </x:c>
      <x:c r="H28" s="113" t="n">
        <x:f>ROUND((D28-C28)*1440,1)</x:f>
        <x:v>25.4</x:v>
      </x:c>
      <x:c r="I28" s="113" t="n">
        <x:f>ROUND((E28-C28)*1440,1)</x:f>
        <x:v>26.6</x:v>
      </x:c>
      <x:c r="J28" s="113" t="n">
        <x:f>IF(A28=A27,ROUND((C28-C27)*1440,1),0)</x:f>
        <x:v>1.9</x:v>
      </x:c>
      <x:c r="K28" s="76" t="str">
        <x:v>FrontDesk-01</x:v>
      </x:c>
      <x:c r="L28" s="113" t="n">
        <x:f>MAX(0,COUNTIFS($A$2:$A$401,A28,$C$2:$C$401,"&lt;"&amp;C28,$E$2:$E$401,"&gt;"&amp;C28)-1)</x:f>
        <x:v>5</x:v>
      </x:c>
      <x:c r="M28" s="113" t="n">
        <x:f>HOUR(C28)</x:f>
        <x:v>9</x:v>
      </x:c>
      <x:c r="N28" s="119" t="n">
        <x:f>ROUND((C28-A28-TIME(8,0,0))*1440,1)</x:f>
        <x:v>93.6</x:v>
      </x:c>
    </x:row>
    <x:row r="29" ht="18" customHeight="1">
      <x:c r="A29" s="101" t="n">
        <x:v>46132</x:v>
      </x:c>
      <x:c r="B29" s="76" t="str">
        <x:v>P0028</x:v>
      </x:c>
      <x:c r="C29" s="107" t="n">
        <x:v>46132.41046144676</x:v>
      </x:c>
      <x:c r="D29" s="107" t="n">
        <x:v>46132.416795474535</x:v>
      </x:c>
      <x:c r="E29" s="107" t="n">
        <x:v>46132.41825380787</x:v>
      </x:c>
      <x:c r="F29" s="76" t="str">
        <x:v>report_collection</x:v>
      </x:c>
      <x:c r="G29" s="113" t="n">
        <x:f>ROUND((E29-D29)*1440,1)</x:f>
        <x:v>2.1</x:v>
      </x:c>
      <x:c r="H29" s="113" t="n">
        <x:f>ROUND((D29-C29)*1440,1)</x:f>
        <x:v>9.1</x:v>
      </x:c>
      <x:c r="I29" s="113" t="n">
        <x:f>ROUND((E29-C29)*1440,1)</x:f>
        <x:v>11.2</x:v>
      </x:c>
      <x:c r="J29" s="113" t="n">
        <x:f>IF(A29=A28,ROUND((C29-C28)*1440,1),0)</x:f>
        <x:v>17.5</x:v>
      </x:c>
      <x:c r="K29" s="76" t="str">
        <x:v>FrontDesk-01</x:v>
      </x:c>
      <x:c r="L29" s="113" t="n">
        <x:f>MAX(0,COUNTIFS($A$2:$A$401,A29,$C$2:$C$401,"&lt;"&amp;C29,$E$2:$E$401,"&gt;"&amp;C29)-1)</x:f>
        <x:v>2</x:v>
      </x:c>
      <x:c r="M29" s="113" t="n">
        <x:f>HOUR(C29)</x:f>
        <x:v>9</x:v>
      </x:c>
      <x:c r="N29" s="119" t="n">
        <x:f>ROUND((C29-A29-TIME(8,0,0))*1440,1)</x:f>
        <x:v>111.1</x:v>
      </x:c>
    </x:row>
    <x:row r="30" ht="18" customHeight="1">
      <x:c r="A30" s="101" t="n">
        <x:v>46132</x:v>
      </x:c>
      <x:c r="B30" s="76" t="str">
        <x:v>P0029</x:v>
      </x:c>
      <x:c r="C30" s="107" t="n">
        <x:v>46132.412432997684</x:v>
      </x:c>
      <x:c r="D30" s="107" t="n">
        <x:v>46132.41825380787</x:v>
      </x:c>
      <x:c r="E30" s="107" t="n">
        <x:v>46132.4203371412</x:v>
      </x:c>
      <x:c r="F30" s="76" t="str">
        <x:v>billing_payment</x:v>
      </x:c>
      <x:c r="G30" s="113" t="n">
        <x:f>ROUND((E30-D30)*1440,1)</x:f>
        <x:v>3</x:v>
      </x:c>
      <x:c r="H30" s="113" t="n">
        <x:f>ROUND((D30-C30)*1440,1)</x:f>
        <x:v>8.4</x:v>
      </x:c>
      <x:c r="I30" s="113" t="n">
        <x:f>ROUND((E30-C30)*1440,1)</x:f>
        <x:v>11.4</x:v>
      </x:c>
      <x:c r="J30" s="113" t="n">
        <x:f>IF(A30=A29,ROUND((C30-C29)*1440,1),0)</x:f>
        <x:v>2.8</x:v>
      </x:c>
      <x:c r="K30" s="76" t="str">
        <x:v>FrontDesk-01</x:v>
      </x:c>
      <x:c r="L30" s="113" t="n">
        <x:f>MAX(0,COUNTIFS($A$2:$A$401,A30,$C$2:$C$401,"&lt;"&amp;C30,$E$2:$E$401,"&gt;"&amp;C30)-1)</x:f>
        <x:v>2</x:v>
      </x:c>
      <x:c r="M30" s="113" t="n">
        <x:f>HOUR(C30)</x:f>
        <x:v>9</x:v>
      </x:c>
      <x:c r="N30" s="119" t="n">
        <x:f>ROUND((C30-A30-TIME(8,0,0))*1440,1)</x:f>
        <x:v>113.9</x:v>
      </x:c>
    </x:row>
    <x:row r="31" ht="18" customHeight="1">
      <x:c r="A31" s="101" t="n">
        <x:v>46132</x:v>
      </x:c>
      <x:c r="B31" s="76" t="str">
        <x:v>P0030</x:v>
      </x:c>
      <x:c r="C31" s="107" t="n">
        <x:v>46132.435101331015</x:v>
      </x:c>
      <x:c r="D31" s="107" t="n">
        <x:v>46132.435101331015</x:v>
      </x:c>
      <x:c r="E31" s="107" t="n">
        <x:v>46132.439615219904</x:v>
      </x:c>
      <x:c r="F31" s="76" t="str">
        <x:v>registration</x:v>
      </x:c>
      <x:c r="G31" s="113" t="n">
        <x:f>ROUND((E31-D31)*1440,1)</x:f>
        <x:v>6.5</x:v>
      </x:c>
      <x:c r="H31" s="113" t="n">
        <x:f>ROUND((D31-C31)*1440,1)</x:f>
        <x:v>0</x:v>
      </x:c>
      <x:c r="I31" s="113" t="n">
        <x:f>ROUND((E31-C31)*1440,1)</x:f>
        <x:v>6.5</x:v>
      </x:c>
      <x:c r="J31" s="113" t="n">
        <x:f>IF(A31=A30,ROUND((C31-C30)*1440,1),0)</x:f>
        <x:v>32.6</x:v>
      </x:c>
      <x:c r="K31" s="76" t="str">
        <x:v>FrontDesk-01</x:v>
      </x:c>
      <x:c r="L31" s="113" t="n">
        <x:f>MAX(0,COUNTIFS($A$2:$A$401,A31,$C$2:$C$401,"&lt;"&amp;C31,$E$2:$E$401,"&gt;"&amp;C31)-1)</x:f>
        <x:v>0</x:v>
      </x:c>
      <x:c r="M31" s="113" t="n">
        <x:f>HOUR(C31)</x:f>
        <x:v>10</x:v>
      </x:c>
      <x:c r="N31" s="119" t="n">
        <x:f>ROUND((C31-A31-TIME(8,0,0))*1440,1)</x:f>
        <x:v>146.5</x:v>
      </x:c>
    </x:row>
    <x:row r="32" ht="18" customHeight="1">
      <x:c r="A32" s="101" t="n">
        <x:v>46132</x:v>
      </x:c>
      <x:c r="B32" s="76" t="str">
        <x:v>P0031</x:v>
      </x:c>
      <x:c r="C32" s="107" t="n">
        <x:v>46132.437970694446</x:v>
      </x:c>
      <x:c r="D32" s="107" t="n">
        <x:v>46132.439615219904</x:v>
      </x:c>
      <x:c r="E32" s="107" t="n">
        <x:v>46132.44329577546</x:v>
      </x:c>
      <x:c r="F32" s="76" t="str">
        <x:v>registration</x:v>
      </x:c>
      <x:c r="G32" s="113" t="n">
        <x:f>ROUND((E32-D32)*1440,1)</x:f>
        <x:v>5.3</x:v>
      </x:c>
      <x:c r="H32" s="113" t="n">
        <x:f>ROUND((D32-C32)*1440,1)</x:f>
        <x:v>2.4</x:v>
      </x:c>
      <x:c r="I32" s="113" t="n">
        <x:f>ROUND((E32-C32)*1440,1)</x:f>
        <x:v>7.7</x:v>
      </x:c>
      <x:c r="J32" s="113" t="n">
        <x:f>IF(A32=A31,ROUND((C32-C31)*1440,1),0)</x:f>
        <x:v>4.1</x:v>
      </x:c>
      <x:c r="K32" s="76" t="str">
        <x:v>FrontDesk-01</x:v>
      </x:c>
      <x:c r="L32" s="113" t="n">
        <x:f>MAX(0,COUNTIFS($A$2:$A$401,A32,$C$2:$C$401,"&lt;"&amp;C32,$E$2:$E$401,"&gt;"&amp;C32)-1)</x:f>
        <x:v>0</x:v>
      </x:c>
      <x:c r="M32" s="113" t="n">
        <x:f>HOUR(C32)</x:f>
        <x:v>10</x:v>
      </x:c>
      <x:c r="N32" s="119" t="n">
        <x:f>ROUND((C32-A32-TIME(8,0,0))*1440,1)</x:f>
        <x:v>150.7</x:v>
      </x:c>
    </x:row>
    <x:row r="33" ht="18" customHeight="1">
      <x:c r="A33" s="101" t="n">
        <x:v>46132</x:v>
      </x:c>
      <x:c r="B33" s="76" t="str">
        <x:v>P0032</x:v>
      </x:c>
      <x:c r="C33" s="107" t="n">
        <x:v>46132.44086357639</x:v>
      </x:c>
      <x:c r="D33" s="107" t="n">
        <x:v>46132.44329577546</x:v>
      </x:c>
      <x:c r="E33" s="107" t="n">
        <x:v>46132.44690688657</x:v>
      </x:c>
      <x:c r="F33" s="76" t="str">
        <x:v>registration</x:v>
      </x:c>
      <x:c r="G33" s="113" t="n">
        <x:f>ROUND((E33-D33)*1440,1)</x:f>
        <x:v>5.2</x:v>
      </x:c>
      <x:c r="H33" s="113" t="n">
        <x:f>ROUND((D33-C33)*1440,1)</x:f>
        <x:v>3.5</x:v>
      </x:c>
      <x:c r="I33" s="113" t="n">
        <x:f>ROUND((E33-C33)*1440,1)</x:f>
        <x:v>8.7</x:v>
      </x:c>
      <x:c r="J33" s="113" t="n">
        <x:f>IF(A33=A32,ROUND((C33-C32)*1440,1),0)</x:f>
        <x:v>4.2</x:v>
      </x:c>
      <x:c r="K33" s="76" t="str">
        <x:v>FrontDesk-01</x:v>
      </x:c>
      <x:c r="L33" s="113" t="n">
        <x:f>MAX(0,COUNTIFS($A$2:$A$401,A33,$C$2:$C$401,"&lt;"&amp;C33,$E$2:$E$401,"&gt;"&amp;C33)-1)</x:f>
        <x:v>0</x:v>
      </x:c>
      <x:c r="M33" s="113" t="n">
        <x:f>HOUR(C33)</x:f>
        <x:v>10</x:v>
      </x:c>
      <x:c r="N33" s="119" t="n">
        <x:f>ROUND((C33-A33-TIME(8,0,0))*1440,1)</x:f>
        <x:v>154.8</x:v>
      </x:c>
    </x:row>
    <x:row r="34" ht="18" customHeight="1">
      <x:c r="A34" s="101" t="n">
        <x:v>46132</x:v>
      </x:c>
      <x:c r="B34" s="76" t="str">
        <x:v>P0033</x:v>
      </x:c>
      <x:c r="C34" s="107" t="n">
        <x:v>46132.447004375</x:v>
      </x:c>
      <x:c r="D34" s="107" t="n">
        <x:v>46132.447004375</x:v>
      </x:c>
      <x:c r="E34" s="107" t="n">
        <x:v>46132.45054604167</x:v>
      </x:c>
      <x:c r="F34" s="76" t="str">
        <x:v>sample_submission</x:v>
      </x:c>
      <x:c r="G34" s="113" t="n">
        <x:f>ROUND((E34-D34)*1440,1)</x:f>
        <x:v>5.1</x:v>
      </x:c>
      <x:c r="H34" s="113" t="n">
        <x:f>ROUND((D34-C34)*1440,1)</x:f>
        <x:v>0</x:v>
      </x:c>
      <x:c r="I34" s="113" t="n">
        <x:f>ROUND((E34-C34)*1440,1)</x:f>
        <x:v>5.1</x:v>
      </x:c>
      <x:c r="J34" s="113" t="n">
        <x:f>IF(A34=A33,ROUND((C34-C33)*1440,1),0)</x:f>
        <x:v>8.8</x:v>
      </x:c>
      <x:c r="K34" s="76" t="str">
        <x:v>FrontDesk-01</x:v>
      </x:c>
      <x:c r="L34" s="113" t="n">
        <x:f>MAX(0,COUNTIFS($A$2:$A$401,A34,$C$2:$C$401,"&lt;"&amp;C34,$E$2:$E$401,"&gt;"&amp;C34)-1)</x:f>
        <x:v>0</x:v>
      </x:c>
      <x:c r="M34" s="113" t="n">
        <x:f>HOUR(C34)</x:f>
        <x:v>10</x:v>
      </x:c>
      <x:c r="N34" s="119" t="n">
        <x:f>ROUND((C34-A34-TIME(8,0,0))*1440,1)</x:f>
        <x:v>163.7</x:v>
      </x:c>
    </x:row>
    <x:row r="35" ht="18" customHeight="1">
      <x:c r="A35" s="101" t="n">
        <x:v>46132</x:v>
      </x:c>
      <x:c r="B35" s="76" t="str">
        <x:v>P0034</x:v>
      </x:c>
      <x:c r="C35" s="107" t="n">
        <x:v>46132.44932443287</x:v>
      </x:c>
      <x:c r="D35" s="107" t="n">
        <x:v>46132.45054604167</x:v>
      </x:c>
      <x:c r="E35" s="107" t="n">
        <x:v>46132.45478215278</x:v>
      </x:c>
      <x:c r="F35" s="76" t="str">
        <x:v>sample_submission</x:v>
      </x:c>
      <x:c r="G35" s="113" t="n">
        <x:f>ROUND((E35-D35)*1440,1)</x:f>
        <x:v>6.1</x:v>
      </x:c>
      <x:c r="H35" s="113" t="n">
        <x:f>ROUND((D35-C35)*1440,1)</x:f>
        <x:v>1.8</x:v>
      </x:c>
      <x:c r="I35" s="113" t="n">
        <x:f>ROUND((E35-C35)*1440,1)</x:f>
        <x:v>7.9</x:v>
      </x:c>
      <x:c r="J35" s="113" t="n">
        <x:f>IF(A35=A34,ROUND((C35-C34)*1440,1),0)</x:f>
        <x:v>3.3</x:v>
      </x:c>
      <x:c r="K35" s="76" t="str">
        <x:v>FrontDesk-01</x:v>
      </x:c>
      <x:c r="L35" s="113" t="n">
        <x:f>MAX(0,COUNTIFS($A$2:$A$401,A35,$C$2:$C$401,"&lt;"&amp;C35,$E$2:$E$401,"&gt;"&amp;C35)-1)</x:f>
        <x:v>0</x:v>
      </x:c>
      <x:c r="M35" s="113" t="n">
        <x:f>HOUR(C35)</x:f>
        <x:v>10</x:v>
      </x:c>
      <x:c r="N35" s="119" t="n">
        <x:f>ROUND((C35-A35-TIME(8,0,0))*1440,1)</x:f>
        <x:v>167</x:v>
      </x:c>
    </x:row>
    <x:row r="36" ht="18" customHeight="1">
      <x:c r="A36" s="101" t="n">
        <x:v>46132</x:v>
      </x:c>
      <x:c r="B36" s="76" t="str">
        <x:v>P0035</x:v>
      </x:c>
      <x:c r="C36" s="107" t="n">
        <x:v>46132.45112582176</x:v>
      </x:c>
      <x:c r="D36" s="107" t="n">
        <x:v>46132.45478215278</x:v>
      </x:c>
      <x:c r="E36" s="107" t="n">
        <x:v>46132.45735159722</x:v>
      </x:c>
      <x:c r="F36" s="76" t="str">
        <x:v>billing_payment</x:v>
      </x:c>
      <x:c r="G36" s="113" t="n">
        <x:f>ROUND((E36-D36)*1440,1)</x:f>
        <x:v>3.7</x:v>
      </x:c>
      <x:c r="H36" s="113" t="n">
        <x:f>ROUND((D36-C36)*1440,1)</x:f>
        <x:v>5.3</x:v>
      </x:c>
      <x:c r="I36" s="113" t="n">
        <x:f>ROUND((E36-C36)*1440,1)</x:f>
        <x:v>9</x:v>
      </x:c>
      <x:c r="J36" s="113" t="n">
        <x:f>IF(A36=A35,ROUND((C36-C35)*1440,1),0)</x:f>
        <x:v>2.6</x:v>
      </x:c>
      <x:c r="K36" s="76" t="str">
        <x:v>FrontDesk-01</x:v>
      </x:c>
      <x:c r="L36" s="113" t="n">
        <x:f>MAX(0,COUNTIFS($A$2:$A$401,A36,$C$2:$C$401,"&lt;"&amp;C36,$E$2:$E$401,"&gt;"&amp;C36)-1)</x:f>
        <x:v>0</x:v>
      </x:c>
      <x:c r="M36" s="113" t="n">
        <x:f>HOUR(C36)</x:f>
        <x:v>10</x:v>
      </x:c>
      <x:c r="N36" s="119" t="n">
        <x:f>ROUND((C36-A36-TIME(8,0,0))*1440,1)</x:f>
        <x:v>169.6</x:v>
      </x:c>
    </x:row>
    <x:row r="37" ht="18" customHeight="1">
      <x:c r="A37" s="101" t="n">
        <x:v>46132</x:v>
      </x:c>
      <x:c r="B37" s="76" t="str">
        <x:v>P0036</x:v>
      </x:c>
      <x:c r="C37" s="107" t="n">
        <x:v>46132.46717131945</x:v>
      </x:c>
      <x:c r="D37" s="107" t="n">
        <x:v>46132.46717131945</x:v>
      </x:c>
      <x:c r="E37" s="107" t="n">
        <x:v>46132.46869909722</x:v>
      </x:c>
      <x:c r="F37" s="76" t="str">
        <x:v>report_collection</x:v>
      </x:c>
      <x:c r="G37" s="113" t="n">
        <x:f>ROUND((E37-D37)*1440,1)</x:f>
        <x:v>2.2</x:v>
      </x:c>
      <x:c r="H37" s="113" t="n">
        <x:f>ROUND((D37-C37)*1440,1)</x:f>
        <x:v>0</x:v>
      </x:c>
      <x:c r="I37" s="113" t="n">
        <x:f>ROUND((E37-C37)*1440,1)</x:f>
        <x:v>2.2</x:v>
      </x:c>
      <x:c r="J37" s="113" t="n">
        <x:f>IF(A37=A36,ROUND((C37-C36)*1440,1),0)</x:f>
        <x:v>23.1</x:v>
      </x:c>
      <x:c r="K37" s="76" t="str">
        <x:v>FrontDesk-01</x:v>
      </x:c>
      <x:c r="L37" s="113" t="n">
        <x:f>MAX(0,COUNTIFS($A$2:$A$401,A37,$C$2:$C$401,"&lt;"&amp;C37,$E$2:$E$401,"&gt;"&amp;C37)-1)</x:f>
        <x:v>0</x:v>
      </x:c>
      <x:c r="M37" s="113" t="n">
        <x:f>HOUR(C37)</x:f>
        <x:v>11</x:v>
      </x:c>
      <x:c r="N37" s="119" t="n">
        <x:f>ROUND((C37-A37-TIME(8,0,0))*1440,1)</x:f>
        <x:v>192.7</x:v>
      </x:c>
    </x:row>
    <x:row r="38" ht="18" customHeight="1">
      <x:c r="A38" s="101" t="n">
        <x:v>46132</x:v>
      </x:c>
      <x:c r="B38" s="76" t="str">
        <x:v>P0037</x:v>
      </x:c>
      <x:c r="C38" s="107" t="n">
        <x:v>46132.47301109954</x:v>
      </x:c>
      <x:c r="D38" s="107" t="n">
        <x:v>46132.47301109954</x:v>
      </x:c>
      <x:c r="E38" s="107" t="n">
        <x:v>46132.47488609954</x:v>
      </x:c>
      <x:c r="F38" s="76" t="str">
        <x:v>report_collection</x:v>
      </x:c>
      <x:c r="G38" s="113" t="n">
        <x:f>ROUND((E38-D38)*1440,1)</x:f>
        <x:v>2.7</x:v>
      </x:c>
      <x:c r="H38" s="113" t="n">
        <x:f>ROUND((D38-C38)*1440,1)</x:f>
        <x:v>0</x:v>
      </x:c>
      <x:c r="I38" s="113" t="n">
        <x:f>ROUND((E38-C38)*1440,1)</x:f>
        <x:v>2.7</x:v>
      </x:c>
      <x:c r="J38" s="113" t="n">
        <x:f>IF(A38=A37,ROUND((C38-C37)*1440,1),0)</x:f>
        <x:v>8.4</x:v>
      </x:c>
      <x:c r="K38" s="76" t="str">
        <x:v>FrontDesk-01</x:v>
      </x:c>
      <x:c r="L38" s="113" t="n">
        <x:f>MAX(0,COUNTIFS($A$2:$A$401,A38,$C$2:$C$401,"&lt;"&amp;C38,$E$2:$E$401,"&gt;"&amp;C38)-1)</x:f>
        <x:v>0</x:v>
      </x:c>
      <x:c r="M38" s="113" t="n">
        <x:f>HOUR(C38)</x:f>
        <x:v>11</x:v>
      </x:c>
      <x:c r="N38" s="119" t="n">
        <x:f>ROUND((C38-A38-TIME(8,0,0))*1440,1)</x:f>
        <x:v>201.1</x:v>
      </x:c>
    </x:row>
    <x:row r="39" ht="18" customHeight="1">
      <x:c r="A39" s="101" t="n">
        <x:v>46132</x:v>
      </x:c>
      <x:c r="B39" s="76" t="str">
        <x:v>P0038</x:v>
      </x:c>
      <x:c r="C39" s="107" t="n">
        <x:v>46132.480366724536</x:v>
      </x:c>
      <x:c r="D39" s="107" t="n">
        <x:v>46132.480366724536</x:v>
      </x:c>
      <x:c r="E39" s="107" t="n">
        <x:v>46132.48321394676</x:v>
      </x:c>
      <x:c r="F39" s="76" t="str">
        <x:v>billing_payment</x:v>
      </x:c>
      <x:c r="G39" s="113" t="n">
        <x:f>ROUND((E39-D39)*1440,1)</x:f>
        <x:v>4.1</x:v>
      </x:c>
      <x:c r="H39" s="113" t="n">
        <x:f>ROUND((D39-C39)*1440,1)</x:f>
        <x:v>0</x:v>
      </x:c>
      <x:c r="I39" s="113" t="n">
        <x:f>ROUND((E39-C39)*1440,1)</x:f>
        <x:v>4.1</x:v>
      </x:c>
      <x:c r="J39" s="113" t="n">
        <x:f>IF(A39=A38,ROUND((C39-C38)*1440,1),0)</x:f>
        <x:v>10.6</x:v>
      </x:c>
      <x:c r="K39" s="76" t="str">
        <x:v>FrontDesk-01</x:v>
      </x:c>
      <x:c r="L39" s="113" t="n">
        <x:f>MAX(0,COUNTIFS($A$2:$A$401,A39,$C$2:$C$401,"&lt;"&amp;C39,$E$2:$E$401,"&gt;"&amp;C39)-1)</x:f>
        <x:v>0</x:v>
      </x:c>
      <x:c r="M39" s="113" t="n">
        <x:f>HOUR(C39)</x:f>
        <x:v>11</x:v>
      </x:c>
      <x:c r="N39" s="119" t="n">
        <x:f>ROUND((C39-A39-TIME(8,0,0))*1440,1)</x:f>
        <x:v>211.7</x:v>
      </x:c>
    </x:row>
    <x:row r="40" ht="18" customHeight="1">
      <x:c r="A40" s="101" t="n">
        <x:v>46132</x:v>
      </x:c>
      <x:c r="B40" s="76" t="str">
        <x:v>P0039</x:v>
      </x:c>
      <x:c r="C40" s="107" t="n">
        <x:v>46132.51838163195</x:v>
      </x:c>
      <x:c r="D40" s="107" t="n">
        <x:v>46132.51838163195</x:v>
      </x:c>
      <x:c r="E40" s="107" t="n">
        <x:v>46132.520395520834</x:v>
      </x:c>
      <x:c r="F40" s="76" t="str">
        <x:v>billing_payment</x:v>
      </x:c>
      <x:c r="G40" s="113" t="n">
        <x:f>ROUND((E40-D40)*1440,1)</x:f>
        <x:v>2.9</x:v>
      </x:c>
      <x:c r="H40" s="113" t="n">
        <x:f>ROUND((D40-C40)*1440,1)</x:f>
        <x:v>0</x:v>
      </x:c>
      <x:c r="I40" s="113" t="n">
        <x:f>ROUND((E40-C40)*1440,1)</x:f>
        <x:v>2.9</x:v>
      </x:c>
      <x:c r="J40" s="113" t="n">
        <x:f>IF(A40=A39,ROUND((C40-C39)*1440,1),0)</x:f>
        <x:v>54.7</x:v>
      </x:c>
      <x:c r="K40" s="76" t="str">
        <x:v>FrontDesk-01</x:v>
      </x:c>
      <x:c r="L40" s="113" t="n">
        <x:f>MAX(0,COUNTIFS($A$2:$A$401,A40,$C$2:$C$401,"&lt;"&amp;C40,$E$2:$E$401,"&gt;"&amp;C40)-1)</x:f>
        <x:v>0</x:v>
      </x:c>
      <x:c r="M40" s="113" t="n">
        <x:f>HOUR(C40)</x:f>
        <x:v>12</x:v>
      </x:c>
      <x:c r="N40" s="119" t="n">
        <x:f>ROUND((C40-A40-TIME(8,0,0))*1440,1)</x:f>
        <x:v>266.5</x:v>
      </x:c>
    </x:row>
    <x:row r="41" ht="18" customHeight="1">
      <x:c r="A41" s="101" t="n">
        <x:v>46132</x:v>
      </x:c>
      <x:c r="B41" s="76" t="str">
        <x:v>P0040</x:v>
      </x:c>
      <x:c r="C41" s="107" t="n">
        <x:v>46132.519732534725</x:v>
      </x:c>
      <x:c r="D41" s="107" t="n">
        <x:v>46132.520395520834</x:v>
      </x:c>
      <x:c r="E41" s="107" t="n">
        <x:v>46132.522756631945</x:v>
      </x:c>
      <x:c r="F41" s="76" t="str">
        <x:v>report_collection</x:v>
      </x:c>
      <x:c r="G41" s="113" t="n">
        <x:f>ROUND((E41-D41)*1440,1)</x:f>
        <x:v>3.4</x:v>
      </x:c>
      <x:c r="H41" s="113" t="n">
        <x:f>ROUND((D41-C41)*1440,1)</x:f>
        <x:v>1</x:v>
      </x:c>
      <x:c r="I41" s="113" t="n">
        <x:f>ROUND((E41-C41)*1440,1)</x:f>
        <x:v>4.4</x:v>
      </x:c>
      <x:c r="J41" s="113" t="n">
        <x:f>IF(A41=A40,ROUND((C41-C40)*1440,1),0)</x:f>
        <x:v>1.9</x:v>
      </x:c>
      <x:c r="K41" s="76" t="str">
        <x:v>FrontDesk-01</x:v>
      </x:c>
      <x:c r="L41" s="113" t="n">
        <x:f>MAX(0,COUNTIFS($A$2:$A$401,A41,$C$2:$C$401,"&lt;"&amp;C41,$E$2:$E$401,"&gt;"&amp;C41)-1)</x:f>
        <x:v>0</x:v>
      </x:c>
      <x:c r="M41" s="113" t="n">
        <x:f>HOUR(C41)</x:f>
        <x:v>12</x:v>
      </x:c>
      <x:c r="N41" s="119" t="n">
        <x:f>ROUND((C41-A41-TIME(8,0,0))*1440,1)</x:f>
        <x:v>268.4</x:v>
      </x:c>
    </x:row>
    <x:row r="42" ht="18" customHeight="1">
      <x:c r="A42" s="101" t="n">
        <x:v>46132</x:v>
      </x:c>
      <x:c r="B42" s="76" t="str">
        <x:v>P0041</x:v>
      </x:c>
      <x:c r="C42" s="107" t="n">
        <x:v>46132.52017715278</x:v>
      </x:c>
      <x:c r="D42" s="107" t="n">
        <x:v>46132.522756631945</x:v>
      </x:c>
      <x:c r="E42" s="107" t="n">
        <x:v>46132.5270621875</x:v>
      </x:c>
      <x:c r="F42" s="76" t="str">
        <x:v>appointment_booking</x:v>
      </x:c>
      <x:c r="G42" s="113" t="n">
        <x:f>ROUND((E42-D42)*1440,1)</x:f>
        <x:v>6.2</x:v>
      </x:c>
      <x:c r="H42" s="113" t="n">
        <x:f>ROUND((D42-C42)*1440,1)</x:f>
        <x:v>3.7</x:v>
      </x:c>
      <x:c r="I42" s="113" t="n">
        <x:f>ROUND((E42-C42)*1440,1)</x:f>
        <x:v>9.9</x:v>
      </x:c>
      <x:c r="J42" s="113" t="n">
        <x:f>IF(A42=A41,ROUND((C42-C41)*1440,1),0)</x:f>
        <x:v>0.6</x:v>
      </x:c>
      <x:c r="K42" s="76" t="str">
        <x:v>FrontDesk-01</x:v>
      </x:c>
      <x:c r="L42" s="113" t="n">
        <x:f>MAX(0,COUNTIFS($A$2:$A$401,A42,$C$2:$C$401,"&lt;"&amp;C42,$E$2:$E$401,"&gt;"&amp;C42)-1)</x:f>
        <x:v>1</x:v>
      </x:c>
      <x:c r="M42" s="113" t="n">
        <x:f>HOUR(C42)</x:f>
        <x:v>12</x:v>
      </x:c>
      <x:c r="N42" s="119" t="n">
        <x:f>ROUND((C42-A42-TIME(8,0,0))*1440,1)</x:f>
        <x:v>269.1</x:v>
      </x:c>
    </x:row>
    <x:row r="43" ht="18" customHeight="1">
      <x:c r="A43" s="101" t="n">
        <x:v>46132</x:v>
      </x:c>
      <x:c r="B43" s="76" t="str">
        <x:v>P0042</x:v>
      </x:c>
      <x:c r="C43" s="107" t="n">
        <x:v>46132.521777650465</x:v>
      </x:c>
      <x:c r="D43" s="107" t="n">
        <x:v>46132.5270621875</x:v>
      </x:c>
      <x:c r="E43" s="107" t="n">
        <x:v>46132.5308121875</x:v>
      </x:c>
      <x:c r="F43" s="76" t="str">
        <x:v>registration</x:v>
      </x:c>
      <x:c r="G43" s="113" t="n">
        <x:f>ROUND((E43-D43)*1440,1)</x:f>
        <x:v>5.4</x:v>
      </x:c>
      <x:c r="H43" s="113" t="n">
        <x:f>ROUND((D43-C43)*1440,1)</x:f>
        <x:v>7.6</x:v>
      </x:c>
      <x:c r="I43" s="113" t="n">
        <x:f>ROUND((E43-C43)*1440,1)</x:f>
        <x:v>13</x:v>
      </x:c>
      <x:c r="J43" s="113" t="n">
        <x:f>IF(A43=A42,ROUND((C43-C42)*1440,1),0)</x:f>
        <x:v>2.3</x:v>
      </x:c>
      <x:c r="K43" s="76" t="str">
        <x:v>FrontDesk-01</x:v>
      </x:c>
      <x:c r="L43" s="113" t="n">
        <x:f>MAX(0,COUNTIFS($A$2:$A$401,A43,$C$2:$C$401,"&lt;"&amp;C43,$E$2:$E$401,"&gt;"&amp;C43)-1)</x:f>
        <x:v>1</x:v>
      </x:c>
      <x:c r="M43" s="113" t="n">
        <x:f>HOUR(C43)</x:f>
        <x:v>12</x:v>
      </x:c>
      <x:c r="N43" s="119" t="n">
        <x:f>ROUND((C43-A43-TIME(8,0,0))*1440,1)</x:f>
        <x:v>271.4</x:v>
      </x:c>
    </x:row>
    <x:row r="44" ht="18" customHeight="1">
      <x:c r="A44" s="101" t="n">
        <x:v>46132</x:v>
      </x:c>
      <x:c r="B44" s="76" t="str">
        <x:v>P0043</x:v>
      </x:c>
      <x:c r="C44" s="107" t="n">
        <x:v>46132.52371107639</x:v>
      </x:c>
      <x:c r="D44" s="107" t="n">
        <x:v>46132.5308121875</x:v>
      </x:c>
      <x:c r="E44" s="107" t="n">
        <x:v>46132.533034409724</x:v>
      </x:c>
      <x:c r="F44" s="76" t="str">
        <x:v>registration</x:v>
      </x:c>
      <x:c r="G44" s="113" t="n">
        <x:f>ROUND((E44-D44)*1440,1)</x:f>
        <x:v>3.2</x:v>
      </x:c>
      <x:c r="H44" s="113" t="n">
        <x:f>ROUND((D44-C44)*1440,1)</x:f>
        <x:v>10.2</x:v>
      </x:c>
      <x:c r="I44" s="113" t="n">
        <x:f>ROUND((E44-C44)*1440,1)</x:f>
        <x:v>13.4</x:v>
      </x:c>
      <x:c r="J44" s="113" t="n">
        <x:f>IF(A44=A43,ROUND((C44-C43)*1440,1),0)</x:f>
        <x:v>2.8</x:v>
      </x:c>
      <x:c r="K44" s="76" t="str">
        <x:v>FrontDesk-01</x:v>
      </x:c>
      <x:c r="L44" s="113" t="n">
        <x:f>MAX(0,COUNTIFS($A$2:$A$401,A44,$C$2:$C$401,"&lt;"&amp;C44,$E$2:$E$401,"&gt;"&amp;C44)-1)</x:f>
        <x:v>1</x:v>
      </x:c>
      <x:c r="M44" s="113" t="n">
        <x:f>HOUR(C44)</x:f>
        <x:v>12</x:v>
      </x:c>
      <x:c r="N44" s="119" t="n">
        <x:f>ROUND((C44-A44-TIME(8,0,0))*1440,1)</x:f>
        <x:v>274.1</x:v>
      </x:c>
    </x:row>
    <x:row r="45" ht="18" customHeight="1">
      <x:c r="A45" s="101" t="n">
        <x:v>46132</x:v>
      </x:c>
      <x:c r="B45" s="76" t="str">
        <x:v>P0044</x:v>
      </x:c>
      <x:c r="C45" s="107" t="n">
        <x:v>46132.530830648146</x:v>
      </x:c>
      <x:c r="D45" s="107" t="n">
        <x:v>46132.533034409724</x:v>
      </x:c>
      <x:c r="E45" s="107" t="n">
        <x:v>46132.53629829861</x:v>
      </x:c>
      <x:c r="F45" s="76" t="str">
        <x:v>sample_submission</x:v>
      </x:c>
      <x:c r="G45" s="113" t="n">
        <x:f>ROUND((E45-D45)*1440,1)</x:f>
        <x:v>4.7</x:v>
      </x:c>
      <x:c r="H45" s="113" t="n">
        <x:f>ROUND((D45-C45)*1440,1)</x:f>
        <x:v>3.2</x:v>
      </x:c>
      <x:c r="I45" s="113" t="n">
        <x:f>ROUND((E45-C45)*1440,1)</x:f>
        <x:v>7.9</x:v>
      </x:c>
      <x:c r="J45" s="113" t="n">
        <x:f>IF(A45=A44,ROUND((C45-C44)*1440,1),0)</x:f>
        <x:v>10.3</x:v>
      </x:c>
      <x:c r="K45" s="76" t="str">
        <x:v>FrontDesk-01</x:v>
      </x:c>
      <x:c r="L45" s="113" t="n">
        <x:f>MAX(0,COUNTIFS($A$2:$A$401,A45,$C$2:$C$401,"&lt;"&amp;C45,$E$2:$E$401,"&gt;"&amp;C45)-1)</x:f>
        <x:v>0</x:v>
      </x:c>
      <x:c r="M45" s="113" t="n">
        <x:f>HOUR(C45)</x:f>
        <x:v>12</x:v>
      </x:c>
      <x:c r="N45" s="119" t="n">
        <x:f>ROUND((C45-A45-TIME(8,0,0))*1440,1)</x:f>
        <x:v>284.4</x:v>
      </x:c>
    </x:row>
    <x:row r="46" ht="18" customHeight="1">
      <x:c r="A46" s="101" t="n">
        <x:v>46132</x:v>
      </x:c>
      <x:c r="B46" s="76" t="str">
        <x:v>P0045</x:v>
      </x:c>
      <x:c r="C46" s="107" t="n">
        <x:v>46132.5493750463</x:v>
      </x:c>
      <x:c r="D46" s="107" t="n">
        <x:v>46132.5493750463</x:v>
      </x:c>
      <x:c r="E46" s="107" t="n">
        <x:v>46132.55152782407</x:v>
      </x:c>
      <x:c r="F46" s="76" t="str">
        <x:v>billing_payment</x:v>
      </x:c>
      <x:c r="G46" s="113" t="n">
        <x:f>ROUND((E46-D46)*1440,1)</x:f>
        <x:v>3.1</x:v>
      </x:c>
      <x:c r="H46" s="113" t="n">
        <x:f>ROUND((D46-C46)*1440,1)</x:f>
        <x:v>0</x:v>
      </x:c>
      <x:c r="I46" s="113" t="n">
        <x:f>ROUND((E46-C46)*1440,1)</x:f>
        <x:v>3.1</x:v>
      </x:c>
      <x:c r="J46" s="113" t="n">
        <x:f>IF(A46=A45,ROUND((C46-C45)*1440,1),0)</x:f>
        <x:v>26.7</x:v>
      </x:c>
      <x:c r="K46" s="76" t="str">
        <x:v>FrontDesk-01</x:v>
      </x:c>
      <x:c r="L46" s="113" t="n">
        <x:f>MAX(0,COUNTIFS($A$2:$A$401,A46,$C$2:$C$401,"&lt;"&amp;C46,$E$2:$E$401,"&gt;"&amp;C46)-1)</x:f>
        <x:v>0</x:v>
      </x:c>
      <x:c r="M46" s="113" t="n">
        <x:f>HOUR(C46)</x:f>
        <x:v>13</x:v>
      </x:c>
      <x:c r="N46" s="119" t="n">
        <x:f>ROUND((C46-A46-TIME(8,0,0))*1440,1)</x:f>
        <x:v>311.1</x:v>
      </x:c>
    </x:row>
    <x:row r="47" ht="18" customHeight="1">
      <x:c r="A47" s="101" t="n">
        <x:v>46132</x:v>
      </x:c>
      <x:c r="B47" s="76" t="str">
        <x:v>P0046</x:v>
      </x:c>
      <x:c r="C47" s="107" t="n">
        <x:v>46132.5538353125</x:v>
      </x:c>
      <x:c r="D47" s="107" t="n">
        <x:v>46132.5538353125</x:v>
      </x:c>
      <x:c r="E47" s="107" t="n">
        <x:v>46132.55814086806</x:v>
      </x:c>
      <x:c r="F47" s="76" t="str">
        <x:v>sample_submission</x:v>
      </x:c>
      <x:c r="G47" s="113" t="n">
        <x:f>ROUND((E47-D47)*1440,1)</x:f>
        <x:v>6.2</x:v>
      </x:c>
      <x:c r="H47" s="113" t="n">
        <x:f>ROUND((D47-C47)*1440,1)</x:f>
        <x:v>0</x:v>
      </x:c>
      <x:c r="I47" s="113" t="n">
        <x:f>ROUND((E47-C47)*1440,1)</x:f>
        <x:v>6.2</x:v>
      </x:c>
      <x:c r="J47" s="113" t="n">
        <x:f>IF(A47=A46,ROUND((C47-C46)*1440,1),0)</x:f>
        <x:v>6.4</x:v>
      </x:c>
      <x:c r="K47" s="76" t="str">
        <x:v>FrontDesk-01</x:v>
      </x:c>
      <x:c r="L47" s="113" t="n">
        <x:f>MAX(0,COUNTIFS($A$2:$A$401,A47,$C$2:$C$401,"&lt;"&amp;C47,$E$2:$E$401,"&gt;"&amp;C47)-1)</x:f>
        <x:v>0</x:v>
      </x:c>
      <x:c r="M47" s="113" t="n">
        <x:f>HOUR(C47)</x:f>
        <x:v>13</x:v>
      </x:c>
      <x:c r="N47" s="119" t="n">
        <x:f>ROUND((C47-A47-TIME(8,0,0))*1440,1)</x:f>
        <x:v>317.5</x:v>
      </x:c>
    </x:row>
    <x:row r="48" ht="18" customHeight="1">
      <x:c r="A48" s="101" t="n">
        <x:v>46132</x:v>
      </x:c>
      <x:c r="B48" s="76" t="str">
        <x:v>P0047</x:v>
      </x:c>
      <x:c r="C48" s="107" t="n">
        <x:v>46132.560979050926</x:v>
      </x:c>
      <x:c r="D48" s="107" t="n">
        <x:v>46132.560979050926</x:v>
      </x:c>
      <x:c r="E48" s="107" t="n">
        <x:v>46132.56452071759</x:v>
      </x:c>
      <x:c r="F48" s="76" t="str">
        <x:v>billing_payment</x:v>
      </x:c>
      <x:c r="G48" s="113" t="n">
        <x:f>ROUND((E48-D48)*1440,1)</x:f>
        <x:v>5.1</x:v>
      </x:c>
      <x:c r="H48" s="113" t="n">
        <x:f>ROUND((D48-C48)*1440,1)</x:f>
        <x:v>0</x:v>
      </x:c>
      <x:c r="I48" s="113" t="n">
        <x:f>ROUND((E48-C48)*1440,1)</x:f>
        <x:v>5.1</x:v>
      </x:c>
      <x:c r="J48" s="113" t="n">
        <x:f>IF(A48=A47,ROUND((C48-C47)*1440,1),0)</x:f>
        <x:v>10.3</x:v>
      </x:c>
      <x:c r="K48" s="76" t="str">
        <x:v>FrontDesk-01</x:v>
      </x:c>
      <x:c r="L48" s="113" t="n">
        <x:f>MAX(0,COUNTIFS($A$2:$A$401,A48,$C$2:$C$401,"&lt;"&amp;C48,$E$2:$E$401,"&gt;"&amp;C48)-1)</x:f>
        <x:v>0</x:v>
      </x:c>
      <x:c r="M48" s="113" t="n">
        <x:f>HOUR(C48)</x:f>
        <x:v>13</x:v>
      </x:c>
      <x:c r="N48" s="119" t="n">
        <x:f>ROUND((C48-A48-TIME(8,0,0))*1440,1)</x:f>
        <x:v>327.8</x:v>
      </x:c>
    </x:row>
    <x:row r="49" ht="18" customHeight="1">
      <x:c r="A49" s="101" t="n">
        <x:v>46132</x:v>
      </x:c>
      <x:c r="B49" s="76" t="str">
        <x:v>P0048</x:v>
      </x:c>
      <x:c r="C49" s="107" t="n">
        <x:v>46132.56173833333</x:v>
      </x:c>
      <x:c r="D49" s="107" t="n">
        <x:v>46132.56452071759</x:v>
      </x:c>
      <x:c r="E49" s="107" t="n">
        <x:v>46132.56584016204</x:v>
      </x:c>
      <x:c r="F49" s="76" t="str">
        <x:v>billing_payment</x:v>
      </x:c>
      <x:c r="G49" s="113" t="n">
        <x:f>ROUND((E49-D49)*1440,1)</x:f>
        <x:v>1.9</x:v>
      </x:c>
      <x:c r="H49" s="113" t="n">
        <x:f>ROUND((D49-C49)*1440,1)</x:f>
        <x:v>4</x:v>
      </x:c>
      <x:c r="I49" s="113" t="n">
        <x:f>ROUND((E49-C49)*1440,1)</x:f>
        <x:v>5.9</x:v>
      </x:c>
      <x:c r="J49" s="113" t="n">
        <x:f>IF(A49=A48,ROUND((C49-C48)*1440,1),0)</x:f>
        <x:v>1.1</x:v>
      </x:c>
      <x:c r="K49" s="76" t="str">
        <x:v>FrontDesk-01</x:v>
      </x:c>
      <x:c r="L49" s="113" t="n">
        <x:f>MAX(0,COUNTIFS($A$2:$A$401,A49,$C$2:$C$401,"&lt;"&amp;C49,$E$2:$E$401,"&gt;"&amp;C49)-1)</x:f>
        <x:v>0</x:v>
      </x:c>
      <x:c r="M49" s="113" t="n">
        <x:f>HOUR(C49)</x:f>
        <x:v>13</x:v>
      </x:c>
      <x:c r="N49" s="119" t="n">
        <x:f>ROUND((C49-A49-TIME(8,0,0))*1440,1)</x:f>
        <x:v>328.9</x:v>
      </x:c>
    </x:row>
    <x:row r="50" ht="18" customHeight="1">
      <x:c r="A50" s="101" t="n">
        <x:v>46132</x:v>
      </x:c>
      <x:c r="B50" s="76" t="str">
        <x:v>P0049</x:v>
      </x:c>
      <x:c r="C50" s="107" t="n">
        <x:v>46132.56644458333</x:v>
      </x:c>
      <x:c r="D50" s="107" t="n">
        <x:v>46132.56644458333</x:v>
      </x:c>
      <x:c r="E50" s="107" t="n">
        <x:v>46132.56818069444</x:v>
      </x:c>
      <x:c r="F50" s="76" t="str">
        <x:v>billing_payment</x:v>
      </x:c>
      <x:c r="G50" s="113" t="n">
        <x:f>ROUND((E50-D50)*1440,1)</x:f>
        <x:v>2.5</x:v>
      </x:c>
      <x:c r="H50" s="113" t="n">
        <x:f>ROUND((D50-C50)*1440,1)</x:f>
        <x:v>0</x:v>
      </x:c>
      <x:c r="I50" s="113" t="n">
        <x:f>ROUND((E50-C50)*1440,1)</x:f>
        <x:v>2.5</x:v>
      </x:c>
      <x:c r="J50" s="113" t="n">
        <x:f>IF(A50=A49,ROUND((C50-C49)*1440,1),0)</x:f>
        <x:v>6.8</x:v>
      </x:c>
      <x:c r="K50" s="76" t="str">
        <x:v>FrontDesk-01</x:v>
      </x:c>
      <x:c r="L50" s="113" t="n">
        <x:f>MAX(0,COUNTIFS($A$2:$A$401,A50,$C$2:$C$401,"&lt;"&amp;C50,$E$2:$E$401,"&gt;"&amp;C50)-1)</x:f>
        <x:v>0</x:v>
      </x:c>
      <x:c r="M50" s="113" t="n">
        <x:f>HOUR(C50)</x:f>
        <x:v>13</x:v>
      </x:c>
      <x:c r="N50" s="119" t="n">
        <x:f>ROUND((C50-A50-TIME(8,0,0))*1440,1)</x:f>
        <x:v>335.7</x:v>
      </x:c>
    </x:row>
    <x:row r="51" ht="18" customHeight="1">
      <x:c r="A51" s="101" t="n">
        <x:v>46132</x:v>
      </x:c>
      <x:c r="B51" s="76" t="str">
        <x:v>P0050</x:v>
      </x:c>
      <x:c r="C51" s="107" t="n">
        <x:v>46132.5674783912</x:v>
      </x:c>
      <x:c r="D51" s="107" t="n">
        <x:v>46132.56818069444</x:v>
      </x:c>
      <x:c r="E51" s="107" t="n">
        <x:v>46132.571930694445</x:v>
      </x:c>
      <x:c r="F51" s="76" t="str">
        <x:v>registration</x:v>
      </x:c>
      <x:c r="G51" s="113" t="n">
        <x:f>ROUND((E51-D51)*1440,1)</x:f>
        <x:v>5.4</x:v>
      </x:c>
      <x:c r="H51" s="113" t="n">
        <x:f>ROUND((D51-C51)*1440,1)</x:f>
        <x:v>1</x:v>
      </x:c>
      <x:c r="I51" s="113" t="n">
        <x:f>ROUND((E51-C51)*1440,1)</x:f>
        <x:v>6.4</x:v>
      </x:c>
      <x:c r="J51" s="113" t="n">
        <x:f>IF(A51=A50,ROUND((C51-C50)*1440,1),0)</x:f>
        <x:v>1.5</x:v>
      </x:c>
      <x:c r="K51" s="76" t="str">
        <x:v>FrontDesk-01</x:v>
      </x:c>
      <x:c r="L51" s="113" t="n">
        <x:f>MAX(0,COUNTIFS($A$2:$A$401,A51,$C$2:$C$401,"&lt;"&amp;C51,$E$2:$E$401,"&gt;"&amp;C51)-1)</x:f>
        <x:v>0</x:v>
      </x:c>
      <x:c r="M51" s="113" t="n">
        <x:f>HOUR(C51)</x:f>
        <x:v>13</x:v>
      </x:c>
      <x:c r="N51" s="119" t="n">
        <x:f>ROUND((C51-A51-TIME(8,0,0))*1440,1)</x:f>
        <x:v>337.2</x:v>
      </x:c>
    </x:row>
    <x:row r="52" ht="18" customHeight="1">
      <x:c r="A52" s="101" t="n">
        <x:v>46132</x:v>
      </x:c>
      <x:c r="B52" s="76" t="str">
        <x:v>P0051</x:v>
      </x:c>
      <x:c r="C52" s="107" t="n">
        <x:v>46132.56757479167</x:v>
      </x:c>
      <x:c r="D52" s="107" t="n">
        <x:v>46132.571930694445</x:v>
      </x:c>
      <x:c r="E52" s="107" t="n">
        <x:v>46132.57359736111</x:v>
      </x:c>
      <x:c r="F52" s="76" t="str">
        <x:v>report_collection</x:v>
      </x:c>
      <x:c r="G52" s="113" t="n">
        <x:f>ROUND((E52-D52)*1440,1)</x:f>
        <x:v>2.4</x:v>
      </x:c>
      <x:c r="H52" s="113" t="n">
        <x:f>ROUND((D52-C52)*1440,1)</x:f>
        <x:v>6.3</x:v>
      </x:c>
      <x:c r="I52" s="113" t="n">
        <x:f>ROUND((E52-C52)*1440,1)</x:f>
        <x:v>8.7</x:v>
      </x:c>
      <x:c r="J52" s="113" t="n">
        <x:f>IF(A52=A51,ROUND((C52-C51)*1440,1),0)</x:f>
        <x:v>0.1</x:v>
      </x:c>
      <x:c r="K52" s="76" t="str">
        <x:v>FrontDesk-01</x:v>
      </x:c>
      <x:c r="L52" s="113" t="n">
        <x:f>MAX(0,COUNTIFS($A$2:$A$401,A52,$C$2:$C$401,"&lt;"&amp;C52,$E$2:$E$401,"&gt;"&amp;C52)-1)</x:f>
        <x:v>1</x:v>
      </x:c>
      <x:c r="M52" s="113" t="n">
        <x:f>HOUR(C52)</x:f>
        <x:v>13</x:v>
      </x:c>
      <x:c r="N52" s="119" t="n">
        <x:f>ROUND((C52-A52-TIME(8,0,0))*1440,1)</x:f>
        <x:v>337.3</x:v>
      </x:c>
    </x:row>
    <x:row r="53" ht="18" customHeight="1">
      <x:c r="A53" s="101" t="n">
        <x:v>46132</x:v>
      </x:c>
      <x:c r="B53" s="76" t="str">
        <x:v>P0052</x:v>
      </x:c>
      <x:c r="C53" s="107" t="n">
        <x:v>46132.568446666664</x:v>
      </x:c>
      <x:c r="D53" s="107" t="n">
        <x:v>46132.57359736111</x:v>
      </x:c>
      <x:c r="E53" s="107" t="n">
        <x:v>46132.57581958333</x:v>
      </x:c>
      <x:c r="F53" s="76" t="str">
        <x:v>billing_payment</x:v>
      </x:c>
      <x:c r="G53" s="113" t="n">
        <x:f>ROUND((E53-D53)*1440,1)</x:f>
        <x:v>3.2</x:v>
      </x:c>
      <x:c r="H53" s="113" t="n">
        <x:f>ROUND((D53-C53)*1440,1)</x:f>
        <x:v>7.4</x:v>
      </x:c>
      <x:c r="I53" s="113" t="n">
        <x:f>ROUND((E53-C53)*1440,1)</x:f>
        <x:v>10.6</x:v>
      </x:c>
      <x:c r="J53" s="113" t="n">
        <x:f>IF(A53=A52,ROUND((C53-C52)*1440,1),0)</x:f>
        <x:v>1.3</x:v>
      </x:c>
      <x:c r="K53" s="76" t="str">
        <x:v>FrontDesk-01</x:v>
      </x:c>
      <x:c r="L53" s="113" t="n">
        <x:f>MAX(0,COUNTIFS($A$2:$A$401,A53,$C$2:$C$401,"&lt;"&amp;C53,$E$2:$E$401,"&gt;"&amp;C53)-1)</x:f>
        <x:v>1</x:v>
      </x:c>
      <x:c r="M53" s="113" t="n">
        <x:f>HOUR(C53)</x:f>
        <x:v>13</x:v>
      </x:c>
      <x:c r="N53" s="119" t="n">
        <x:f>ROUND((C53-A53-TIME(8,0,0))*1440,1)</x:f>
        <x:v>338.6</x:v>
      </x:c>
    </x:row>
    <x:row r="54" ht="18" customHeight="1">
      <x:c r="A54" s="101" t="n">
        <x:v>46132</x:v>
      </x:c>
      <x:c r="B54" s="76" t="str">
        <x:v>P0053</x:v>
      </x:c>
      <x:c r="C54" s="107" t="n">
        <x:v>46132.570899074075</x:v>
      </x:c>
      <x:c r="D54" s="107" t="n">
        <x:v>46132.57581958333</x:v>
      </x:c>
      <x:c r="E54" s="107" t="n">
        <x:v>46132.57922236111</x:v>
      </x:c>
      <x:c r="F54" s="76" t="str">
        <x:v>registration</x:v>
      </x:c>
      <x:c r="G54" s="113" t="n">
        <x:f>ROUND((E54-D54)*1440,1)</x:f>
        <x:v>4.9</x:v>
      </x:c>
      <x:c r="H54" s="113" t="n">
        <x:f>ROUND((D54-C54)*1440,1)</x:f>
        <x:v>7.1</x:v>
      </x:c>
      <x:c r="I54" s="113" t="n">
        <x:f>ROUND((E54-C54)*1440,1)</x:f>
        <x:v>12</x:v>
      </x:c>
      <x:c r="J54" s="113" t="n">
        <x:f>IF(A54=A53,ROUND((C54-C53)*1440,1),0)</x:f>
        <x:v>3.5</x:v>
      </x:c>
      <x:c r="K54" s="76" t="str">
        <x:v>FrontDesk-01</x:v>
      </x:c>
      <x:c r="L54" s="113" t="n">
        <x:f>MAX(0,COUNTIFS($A$2:$A$401,A54,$C$2:$C$401,"&lt;"&amp;C54,$E$2:$E$401,"&gt;"&amp;C54)-1)</x:f>
        <x:v>2</x:v>
      </x:c>
      <x:c r="M54" s="113" t="n">
        <x:f>HOUR(C54)</x:f>
        <x:v>13</x:v>
      </x:c>
      <x:c r="N54" s="119" t="n">
        <x:f>ROUND((C54-A54-TIME(8,0,0))*1440,1)</x:f>
        <x:v>342.1</x:v>
      </x:c>
    </x:row>
    <x:row r="55" ht="18" customHeight="1">
      <x:c r="A55" s="101" t="n">
        <x:v>46132</x:v>
      </x:c>
      <x:c r="B55" s="76" t="str">
        <x:v>P0054</x:v>
      </x:c>
      <x:c r="C55" s="107" t="n">
        <x:v>46132.57180587963</x:v>
      </x:c>
      <x:c r="D55" s="107" t="n">
        <x:v>46132.57922236111</x:v>
      </x:c>
      <x:c r="E55" s="107" t="n">
        <x:v>46132.58227791667</x:v>
      </x:c>
      <x:c r="F55" s="76" t="str">
        <x:v>billing_payment</x:v>
      </x:c>
      <x:c r="G55" s="113" t="n">
        <x:f>ROUND((E55-D55)*1440,1)</x:f>
        <x:v>4.4</x:v>
      </x:c>
      <x:c r="H55" s="113" t="n">
        <x:f>ROUND((D55-C55)*1440,1)</x:f>
        <x:v>10.7</x:v>
      </x:c>
      <x:c r="I55" s="113" t="n">
        <x:f>ROUND((E55-C55)*1440,1)</x:f>
        <x:v>15.1</x:v>
      </x:c>
      <x:c r="J55" s="113" t="n">
        <x:f>IF(A55=A54,ROUND((C55-C54)*1440,1),0)</x:f>
        <x:v>1.3</x:v>
      </x:c>
      <x:c r="K55" s="76" t="str">
        <x:v>FrontDesk-01</x:v>
      </x:c>
      <x:c r="L55" s="113" t="n">
        <x:f>MAX(0,COUNTIFS($A$2:$A$401,A55,$C$2:$C$401,"&lt;"&amp;C55,$E$2:$E$401,"&gt;"&amp;C55)-1)</x:f>
        <x:v>3</x:v>
      </x:c>
      <x:c r="M55" s="113" t="n">
        <x:f>HOUR(C55)</x:f>
        <x:v>13</x:v>
      </x:c>
      <x:c r="N55" s="119" t="n">
        <x:f>ROUND((C55-A55-TIME(8,0,0))*1440,1)</x:f>
        <x:v>343.4</x:v>
      </x:c>
    </x:row>
    <x:row r="56" ht="18" customHeight="1">
      <x:c r="A56" s="101" t="n">
        <x:v>46132</x:v>
      </x:c>
      <x:c r="B56" s="76" t="str">
        <x:v>P0055</x:v>
      </x:c>
      <x:c r="C56" s="107" t="n">
        <x:v>46132.574574212966</x:v>
      </x:c>
      <x:c r="D56" s="107" t="n">
        <x:v>46132.58227791667</x:v>
      </x:c>
      <x:c r="E56" s="107" t="n">
        <x:v>46132.58505569444</x:v>
      </x:c>
      <x:c r="F56" s="76" t="str">
        <x:v>registration</x:v>
      </x:c>
      <x:c r="G56" s="113" t="n">
        <x:f>ROUND((E56-D56)*1440,1)</x:f>
        <x:v>4</x:v>
      </x:c>
      <x:c r="H56" s="113" t="n">
        <x:f>ROUND((D56-C56)*1440,1)</x:f>
        <x:v>11.1</x:v>
      </x:c>
      <x:c r="I56" s="113" t="n">
        <x:f>ROUND((E56-C56)*1440,1)</x:f>
        <x:v>15.1</x:v>
      </x:c>
      <x:c r="J56" s="113" t="n">
        <x:f>IF(A56=A55,ROUND((C56-C55)*1440,1),0)</x:f>
        <x:v>4</x:v>
      </x:c>
      <x:c r="K56" s="76" t="str">
        <x:v>FrontDesk-01</x:v>
      </x:c>
      <x:c r="L56" s="113" t="n">
        <x:f>MAX(0,COUNTIFS($A$2:$A$401,A56,$C$2:$C$401,"&lt;"&amp;C56,$E$2:$E$401,"&gt;"&amp;C56)-1)</x:f>
        <x:v>2</x:v>
      </x:c>
      <x:c r="M56" s="113" t="n">
        <x:f>HOUR(C56)</x:f>
        <x:v>13</x:v>
      </x:c>
      <x:c r="N56" s="119" t="n">
        <x:f>ROUND((C56-A56-TIME(8,0,0))*1440,1)</x:f>
        <x:v>347.4</x:v>
      </x:c>
    </x:row>
    <x:row r="57" ht="18" customHeight="1">
      <x:c r="A57" s="101" t="n">
        <x:v>46132</x:v>
      </x:c>
      <x:c r="B57" s="76" t="str">
        <x:v>P0056</x:v>
      </x:c>
      <x:c r="C57" s="107" t="n">
        <x:v>46132.577203078705</x:v>
      </x:c>
      <x:c r="D57" s="107" t="n">
        <x:v>46132.58505569444</x:v>
      </x:c>
      <x:c r="E57" s="107" t="n">
        <x:v>46132.586444583336</x:v>
      </x:c>
      <x:c r="F57" s="76" t="str">
        <x:v>report_collection</x:v>
      </x:c>
      <x:c r="G57" s="113" t="n">
        <x:f>ROUND((E57-D57)*1440,1)</x:f>
        <x:v>2</x:v>
      </x:c>
      <x:c r="H57" s="113" t="n">
        <x:f>ROUND((D57-C57)*1440,1)</x:f>
        <x:v>11.3</x:v>
      </x:c>
      <x:c r="I57" s="113" t="n">
        <x:f>ROUND((E57-C57)*1440,1)</x:f>
        <x:v>13.3</x:v>
      </x:c>
      <x:c r="J57" s="113" t="n">
        <x:f>IF(A57=A56,ROUND((C57-C56)*1440,1),0)</x:f>
        <x:v>3.8</x:v>
      </x:c>
      <x:c r="K57" s="76" t="str">
        <x:v>FrontDesk-01</x:v>
      </x:c>
      <x:c r="L57" s="113" t="n">
        <x:f>MAX(0,COUNTIFS($A$2:$A$401,A57,$C$2:$C$401,"&lt;"&amp;C57,$E$2:$E$401,"&gt;"&amp;C57)-1)</x:f>
        <x:v>2</x:v>
      </x:c>
      <x:c r="M57" s="113" t="n">
        <x:f>HOUR(C57)</x:f>
        <x:v>13</x:v>
      </x:c>
      <x:c r="N57" s="119" t="n">
        <x:f>ROUND((C57-A57-TIME(8,0,0))*1440,1)</x:f>
        <x:v>351.2</x:v>
      </x:c>
    </x:row>
    <x:row r="58" ht="18" customHeight="1">
      <x:c r="A58" s="101" t="n">
        <x:v>46132</x:v>
      </x:c>
      <x:c r="B58" s="76" t="str">
        <x:v>P0057</x:v>
      </x:c>
      <x:c r="C58" s="107" t="n">
        <x:v>46132.578424155094</x:v>
      </x:c>
      <x:c r="D58" s="107" t="n">
        <x:v>46132.586444583336</x:v>
      </x:c>
      <x:c r="E58" s="107" t="n">
        <x:v>46132.58901402778</x:v>
      </x:c>
      <x:c r="F58" s="76" t="str">
        <x:v>registration</x:v>
      </x:c>
      <x:c r="G58" s="113" t="n">
        <x:f>ROUND((E58-D58)*1440,1)</x:f>
        <x:v>3.7</x:v>
      </x:c>
      <x:c r="H58" s="113" t="n">
        <x:f>ROUND((D58-C58)*1440,1)</x:f>
        <x:v>11.5</x:v>
      </x:c>
      <x:c r="I58" s="113" t="n">
        <x:f>ROUND((E58-C58)*1440,1)</x:f>
        <x:v>15.2</x:v>
      </x:c>
      <x:c r="J58" s="113" t="n">
        <x:f>IF(A58=A57,ROUND((C58-C57)*1440,1),0)</x:f>
        <x:v>1.8</x:v>
      </x:c>
      <x:c r="K58" s="76" t="str">
        <x:v>FrontDesk-01</x:v>
      </x:c>
      <x:c r="L58" s="113" t="n">
        <x:f>MAX(0,COUNTIFS($A$2:$A$401,A58,$C$2:$C$401,"&lt;"&amp;C58,$E$2:$E$401,"&gt;"&amp;C58)-1)</x:f>
        <x:v>3</x:v>
      </x:c>
      <x:c r="M58" s="113" t="n">
        <x:f>HOUR(C58)</x:f>
        <x:v>13</x:v>
      </x:c>
      <x:c r="N58" s="119" t="n">
        <x:f>ROUND((C58-A58-TIME(8,0,0))*1440,1)</x:f>
        <x:v>352.9</x:v>
      </x:c>
    </x:row>
    <x:row r="59" ht="18" customHeight="1">
      <x:c r="A59" s="101" t="n">
        <x:v>46132</x:v>
      </x:c>
      <x:c r="B59" s="76" t="str">
        <x:v>P0058</x:v>
      </x:c>
      <x:c r="C59" s="107" t="n">
        <x:v>46132.58020631944</x:v>
      </x:c>
      <x:c r="D59" s="107" t="n">
        <x:v>46132.58901402778</x:v>
      </x:c>
      <x:c r="E59" s="107" t="n">
        <x:v>46132.59276402778</x:v>
      </x:c>
      <x:c r="F59" s="76" t="str">
        <x:v>registration</x:v>
      </x:c>
      <x:c r="G59" s="113" t="n">
        <x:f>ROUND((E59-D59)*1440,1)</x:f>
        <x:v>5.4</x:v>
      </x:c>
      <x:c r="H59" s="113" t="n">
        <x:f>ROUND((D59-C59)*1440,1)</x:f>
        <x:v>12.7</x:v>
      </x:c>
      <x:c r="I59" s="113" t="n">
        <x:f>ROUND((E59-C59)*1440,1)</x:f>
        <x:v>18.1</x:v>
      </x:c>
      <x:c r="J59" s="113" t="n">
        <x:f>IF(A59=A58,ROUND((C59-C58)*1440,1),0)</x:f>
        <x:v>2.6</x:v>
      </x:c>
      <x:c r="K59" s="76" t="str">
        <x:v>FrontDesk-01</x:v>
      </x:c>
      <x:c r="L59" s="113" t="n">
        <x:f>MAX(0,COUNTIFS($A$2:$A$401,A59,$C$2:$C$401,"&lt;"&amp;C59,$E$2:$E$401,"&gt;"&amp;C59)-1)</x:f>
        <x:v>3</x:v>
      </x:c>
      <x:c r="M59" s="113" t="n">
        <x:f>HOUR(C59)</x:f>
        <x:v>13</x:v>
      </x:c>
      <x:c r="N59" s="119" t="n">
        <x:f>ROUND((C59-A59-TIME(8,0,0))*1440,1)</x:f>
        <x:v>355.5</x:v>
      </x:c>
    </x:row>
    <x:row r="60" ht="18" customHeight="1">
      <x:c r="A60" s="101" t="n">
        <x:v>46132</x:v>
      </x:c>
      <x:c r="B60" s="76" t="str">
        <x:v>P0059</x:v>
      </x:c>
      <x:c r="C60" s="107" t="n">
        <x:v>46132.58111670139</x:v>
      </x:c>
      <x:c r="D60" s="107" t="n">
        <x:v>46132.59276402778</x:v>
      </x:c>
      <x:c r="E60" s="107" t="n">
        <x:v>46132.59387513889</x:v>
      </x:c>
      <x:c r="F60" s="76" t="str">
        <x:v>report_collection</x:v>
      </x:c>
      <x:c r="G60" s="113" t="n">
        <x:f>ROUND((E60-D60)*1440,1)</x:f>
        <x:v>1.6</x:v>
      </x:c>
      <x:c r="H60" s="113" t="n">
        <x:f>ROUND((D60-C60)*1440,1)</x:f>
        <x:v>16.8</x:v>
      </x:c>
      <x:c r="I60" s="113" t="n">
        <x:f>ROUND((E60-C60)*1440,1)</x:f>
        <x:v>18.4</x:v>
      </x:c>
      <x:c r="J60" s="113" t="n">
        <x:f>IF(A60=A59,ROUND((C60-C59)*1440,1),0)</x:f>
        <x:v>1.3</x:v>
      </x:c>
      <x:c r="K60" s="76" t="str">
        <x:v>FrontDesk-01</x:v>
      </x:c>
      <x:c r="L60" s="113" t="n">
        <x:f>MAX(0,COUNTIFS($A$2:$A$401,A60,$C$2:$C$401,"&lt;"&amp;C60,$E$2:$E$401,"&gt;"&amp;C60)-1)</x:f>
        <x:v>4</x:v>
      </x:c>
      <x:c r="M60" s="113" t="n">
        <x:f>HOUR(C60)</x:f>
        <x:v>13</x:v>
      </x:c>
      <x:c r="N60" s="119" t="n">
        <x:f>ROUND((C60-A60-TIME(8,0,0))*1440,1)</x:f>
        <x:v>356.8</x:v>
      </x:c>
    </x:row>
    <x:row r="61" ht="18" customHeight="1">
      <x:c r="A61" s="101" t="n">
        <x:v>46132</x:v>
      </x:c>
      <x:c r="B61" s="76" t="str">
        <x:v>P0060</x:v>
      </x:c>
      <x:c r="C61" s="107" t="n">
        <x:v>46132.58650549768</x:v>
      </x:c>
      <x:c r="D61" s="107" t="n">
        <x:v>46132.59387513889</x:v>
      </x:c>
      <x:c r="E61" s="107" t="n">
        <x:v>46132.597625138886</x:v>
      </x:c>
      <x:c r="F61" s="76" t="str">
        <x:v>registration</x:v>
      </x:c>
      <x:c r="G61" s="113" t="n">
        <x:f>ROUND((E61-D61)*1440,1)</x:f>
        <x:v>5.4</x:v>
      </x:c>
      <x:c r="H61" s="113" t="n">
        <x:f>ROUND((D61-C61)*1440,1)</x:f>
        <x:v>10.6</x:v>
      </x:c>
      <x:c r="I61" s="113" t="n">
        <x:f>ROUND((E61-C61)*1440,1)</x:f>
        <x:v>16</x:v>
      </x:c>
      <x:c r="J61" s="113" t="n">
        <x:f>IF(A61=A60,ROUND((C61-C60)*1440,1),0)</x:f>
        <x:v>7.8</x:v>
      </x:c>
      <x:c r="K61" s="76" t="str">
        <x:v>FrontDesk-01</x:v>
      </x:c>
      <x:c r="L61" s="113" t="n">
        <x:f>MAX(0,COUNTIFS($A$2:$A$401,A61,$C$2:$C$401,"&lt;"&amp;C61,$E$2:$E$401,"&gt;"&amp;C61)-1)</x:f>
        <x:v>2</x:v>
      </x:c>
      <x:c r="M61" s="113" t="n">
        <x:f>HOUR(C61)</x:f>
        <x:v>14</x:v>
      </x:c>
      <x:c r="N61" s="119" t="n">
        <x:f>ROUND((C61-A61-TIME(8,0,0))*1440,1)</x:f>
        <x:v>364.6</x:v>
      </x:c>
    </x:row>
    <x:row r="62" ht="18" customHeight="1">
      <x:c r="A62" s="101" t="n">
        <x:v>46132</x:v>
      </x:c>
      <x:c r="B62" s="76" t="str">
        <x:v>P0061</x:v>
      </x:c>
      <x:c r="C62" s="107" t="n">
        <x:v>46132.591109409725</x:v>
      </x:c>
      <x:c r="D62" s="107" t="n">
        <x:v>46132.597625138886</x:v>
      </x:c>
      <x:c r="E62" s="107" t="n">
        <x:v>46132.60123625</x:v>
      </x:c>
      <x:c r="F62" s="76" t="str">
        <x:v>sample_submission</x:v>
      </x:c>
      <x:c r="G62" s="113" t="n">
        <x:f>ROUND((E62-D62)*1440,1)</x:f>
        <x:v>5.2</x:v>
      </x:c>
      <x:c r="H62" s="113" t="n">
        <x:f>ROUND((D62-C62)*1440,1)</x:f>
        <x:v>9.4</x:v>
      </x:c>
      <x:c r="I62" s="113" t="n">
        <x:f>ROUND((E62-C62)*1440,1)</x:f>
        <x:v>14.6</x:v>
      </x:c>
      <x:c r="J62" s="113" t="n">
        <x:f>IF(A62=A61,ROUND((C62-C61)*1440,1),0)</x:f>
        <x:v>6.6</x:v>
      </x:c>
      <x:c r="K62" s="76" t="str">
        <x:v>FrontDesk-01</x:v>
      </x:c>
      <x:c r="L62" s="113" t="n">
        <x:f>MAX(0,COUNTIFS($A$2:$A$401,A62,$C$2:$C$401,"&lt;"&amp;C62,$E$2:$E$401,"&gt;"&amp;C62)-1)</x:f>
        <x:v>2</x:v>
      </x:c>
      <x:c r="M62" s="113" t="n">
        <x:f>HOUR(C62)</x:f>
        <x:v>14</x:v>
      </x:c>
      <x:c r="N62" s="119" t="n">
        <x:f>ROUND((C62-A62-TIME(8,0,0))*1440,1)</x:f>
        <x:v>371.2</x:v>
      </x:c>
    </x:row>
    <x:row r="63" ht="18" customHeight="1">
      <x:c r="A63" s="101" t="n">
        <x:v>46132</x:v>
      </x:c>
      <x:c r="B63" s="76" t="str">
        <x:v>P0062</x:v>
      </x:c>
      <x:c r="C63" s="107" t="n">
        <x:v>46132.59607607639</x:v>
      </x:c>
      <x:c r="D63" s="107" t="n">
        <x:v>46132.60123625</x:v>
      </x:c>
      <x:c r="E63" s="107" t="n">
        <x:v>46132.603389027776</x:v>
      </x:c>
      <x:c r="F63" s="76" t="str">
        <x:v>appointment_booking</x:v>
      </x:c>
      <x:c r="G63" s="113" t="n">
        <x:f>ROUND((E63-D63)*1440,1)</x:f>
        <x:v>3.1</x:v>
      </x:c>
      <x:c r="H63" s="113" t="n">
        <x:f>ROUND((D63-C63)*1440,1)</x:f>
        <x:v>7.4</x:v>
      </x:c>
      <x:c r="I63" s="113" t="n">
        <x:f>ROUND((E63-C63)*1440,1)</x:f>
        <x:v>10.5</x:v>
      </x:c>
      <x:c r="J63" s="113" t="n">
        <x:f>IF(A63=A62,ROUND((C63-C62)*1440,1),0)</x:f>
        <x:v>7.2</x:v>
      </x:c>
      <x:c r="K63" s="76" t="str">
        <x:v>FrontDesk-01</x:v>
      </x:c>
      <x:c r="L63" s="113" t="n">
        <x:f>MAX(0,COUNTIFS($A$2:$A$401,A63,$C$2:$C$401,"&lt;"&amp;C63,$E$2:$E$401,"&gt;"&amp;C63)-1)</x:f>
        <x:v>1</x:v>
      </x:c>
      <x:c r="M63" s="113" t="n">
        <x:f>HOUR(C63)</x:f>
        <x:v>14</x:v>
      </x:c>
      <x:c r="N63" s="119" t="n">
        <x:f>ROUND((C63-A63-TIME(8,0,0))*1440,1)</x:f>
        <x:v>378.3</x:v>
      </x:c>
    </x:row>
    <x:row r="64" ht="18" customHeight="1">
      <x:c r="A64" s="101" t="n">
        <x:v>46132</x:v>
      </x:c>
      <x:c r="B64" s="76" t="str">
        <x:v>P0063</x:v>
      </x:c>
      <x:c r="C64" s="107" t="n">
        <x:v>46132.59934849537</x:v>
      </x:c>
      <x:c r="D64" s="107" t="n">
        <x:v>46132.603389027776</x:v>
      </x:c>
      <x:c r="E64" s="107" t="n">
        <x:v>46132.60581958333</x:v>
      </x:c>
      <x:c r="F64" s="76" t="str">
        <x:v>billing_payment</x:v>
      </x:c>
      <x:c r="G64" s="113" t="n">
        <x:f>ROUND((E64-D64)*1440,1)</x:f>
        <x:v>3.5</x:v>
      </x:c>
      <x:c r="H64" s="113" t="n">
        <x:f>ROUND((D64-C64)*1440,1)</x:f>
        <x:v>5.8</x:v>
      </x:c>
      <x:c r="I64" s="113" t="n">
        <x:f>ROUND((E64-C64)*1440,1)</x:f>
        <x:v>9.3</x:v>
      </x:c>
      <x:c r="J64" s="113" t="n">
        <x:f>IF(A64=A63,ROUND((C64-C63)*1440,1),0)</x:f>
        <x:v>4.7</x:v>
      </x:c>
      <x:c r="K64" s="76" t="str">
        <x:v>FrontDesk-01</x:v>
      </x:c>
      <x:c r="L64" s="113" t="n">
        <x:f>MAX(0,COUNTIFS($A$2:$A$401,A64,$C$2:$C$401,"&lt;"&amp;C64,$E$2:$E$401,"&gt;"&amp;C64)-1)</x:f>
        <x:v>1</x:v>
      </x:c>
      <x:c r="M64" s="113" t="n">
        <x:f>HOUR(C64)</x:f>
        <x:v>14</x:v>
      </x:c>
      <x:c r="N64" s="119" t="n">
        <x:f>ROUND((C64-A64-TIME(8,0,0))*1440,1)</x:f>
        <x:v>383.1</x:v>
      </x:c>
    </x:row>
    <x:row r="65" ht="18" customHeight="1">
      <x:c r="A65" s="101" t="n">
        <x:v>46132</x:v>
      </x:c>
      <x:c r="B65" s="76" t="str">
        <x:v>P0064</x:v>
      </x:c>
      <x:c r="C65" s="107" t="n">
        <x:v>46132.60217087963</x:v>
      </x:c>
      <x:c r="D65" s="107" t="n">
        <x:v>46132.60581958333</x:v>
      </x:c>
      <x:c r="E65" s="107" t="n">
        <x:v>46132.60950013889</x:v>
      </x:c>
      <x:c r="F65" s="76" t="str">
        <x:v>sample_submission</x:v>
      </x:c>
      <x:c r="G65" s="113" t="n">
        <x:f>ROUND((E65-D65)*1440,1)</x:f>
        <x:v>5.3</x:v>
      </x:c>
      <x:c r="H65" s="113" t="n">
        <x:f>ROUND((D65-C65)*1440,1)</x:f>
        <x:v>5.3</x:v>
      </x:c>
      <x:c r="I65" s="113" t="n">
        <x:f>ROUND((E65-C65)*1440,1)</x:f>
        <x:v>10.6</x:v>
      </x:c>
      <x:c r="J65" s="113" t="n">
        <x:f>IF(A65=A64,ROUND((C65-C64)*1440,1),0)</x:f>
        <x:v>4.1</x:v>
      </x:c>
      <x:c r="K65" s="76" t="str">
        <x:v>FrontDesk-01</x:v>
      </x:c>
      <x:c r="L65" s="113" t="n">
        <x:f>MAX(0,COUNTIFS($A$2:$A$401,A65,$C$2:$C$401,"&lt;"&amp;C65,$E$2:$E$401,"&gt;"&amp;C65)-1)</x:f>
        <x:v>1</x:v>
      </x:c>
      <x:c r="M65" s="113" t="n">
        <x:f>HOUR(C65)</x:f>
        <x:v>14</x:v>
      </x:c>
      <x:c r="N65" s="119" t="n">
        <x:f>ROUND((C65-A65-TIME(8,0,0))*1440,1)</x:f>
        <x:v>387.1</x:v>
      </x:c>
    </x:row>
    <x:row r="66" ht="18" customHeight="1">
      <x:c r="A66" s="101" t="n">
        <x:v>46132</x:v>
      </x:c>
      <x:c r="B66" s="76" t="str">
        <x:v>P0065</x:v>
      </x:c>
      <x:c r="C66" s="107" t="n">
        <x:v>46132.61487788195</x:v>
      </x:c>
      <x:c r="D66" s="107" t="n">
        <x:v>46132.61487788195</x:v>
      </x:c>
      <x:c r="E66" s="107" t="n">
        <x:v>46132.618211215275</x:v>
      </x:c>
      <x:c r="F66" s="76" t="str">
        <x:v>registration</x:v>
      </x:c>
      <x:c r="G66" s="113" t="n">
        <x:f>ROUND((E66-D66)*1440,1)</x:f>
        <x:v>4.8</x:v>
      </x:c>
      <x:c r="H66" s="113" t="n">
        <x:f>ROUND((D66-C66)*1440,1)</x:f>
        <x:v>0</x:v>
      </x:c>
      <x:c r="I66" s="113" t="n">
        <x:f>ROUND((E66-C66)*1440,1)</x:f>
        <x:v>4.8</x:v>
      </x:c>
      <x:c r="J66" s="113" t="n">
        <x:f>IF(A66=A65,ROUND((C66-C65)*1440,1),0)</x:f>
        <x:v>18.3</x:v>
      </x:c>
      <x:c r="K66" s="76" t="str">
        <x:v>FrontDesk-01</x:v>
      </x:c>
      <x:c r="L66" s="113" t="n">
        <x:f>MAX(0,COUNTIFS($A$2:$A$401,A66,$C$2:$C$401,"&lt;"&amp;C66,$E$2:$E$401,"&gt;"&amp;C66)-1)</x:f>
        <x:v>0</x:v>
      </x:c>
      <x:c r="M66" s="113" t="n">
        <x:f>HOUR(C66)</x:f>
        <x:v>14</x:v>
      </x:c>
      <x:c r="N66" s="119" t="n">
        <x:f>ROUND((C66-A66-TIME(8,0,0))*1440,1)</x:f>
        <x:v>405.4</x:v>
      </x:c>
    </x:row>
    <x:row r="67" ht="18" customHeight="1">
      <x:c r="A67" s="101" t="n">
        <x:v>46132</x:v>
      </x:c>
      <x:c r="B67" s="76" t="str">
        <x:v>P0066</x:v>
      </x:c>
      <x:c r="C67" s="107" t="n">
        <x:v>46132.63123429398</x:v>
      </x:c>
      <x:c r="D67" s="107" t="n">
        <x:v>46132.63123429398</x:v>
      </x:c>
      <x:c r="E67" s="107" t="n">
        <x:v>46132.635123182874</x:v>
      </x:c>
      <x:c r="F67" s="76" t="str">
        <x:v>sample_submission</x:v>
      </x:c>
      <x:c r="G67" s="113" t="n">
        <x:f>ROUND((E67-D67)*1440,1)</x:f>
        <x:v>5.6</x:v>
      </x:c>
      <x:c r="H67" s="113" t="n">
        <x:f>ROUND((D67-C67)*1440,1)</x:f>
        <x:v>0</x:v>
      </x:c>
      <x:c r="I67" s="113" t="n">
        <x:f>ROUND((E67-C67)*1440,1)</x:f>
        <x:v>5.6</x:v>
      </x:c>
      <x:c r="J67" s="113" t="n">
        <x:f>IF(A67=A66,ROUND((C67-C66)*1440,1),0)</x:f>
        <x:v>23.6</x:v>
      </x:c>
      <x:c r="K67" s="76" t="str">
        <x:v>FrontDesk-01</x:v>
      </x:c>
      <x:c r="L67" s="113" t="n">
        <x:f>MAX(0,COUNTIFS($A$2:$A$401,A67,$C$2:$C$401,"&lt;"&amp;C67,$E$2:$E$401,"&gt;"&amp;C67)-1)</x:f>
        <x:v>0</x:v>
      </x:c>
      <x:c r="M67" s="113" t="n">
        <x:f>HOUR(C67)</x:f>
        <x:v>15</x:v>
      </x:c>
      <x:c r="N67" s="119" t="n">
        <x:f>ROUND((C67-A67-TIME(8,0,0))*1440,1)</x:f>
        <x:v>429</x:v>
      </x:c>
    </x:row>
    <x:row r="68" ht="18" customHeight="1">
      <x:c r="A68" s="101" t="n">
        <x:v>46132</x:v>
      </x:c>
      <x:c r="B68" s="76" t="str">
        <x:v>P0067</x:v>
      </x:c>
      <x:c r="C68" s="107" t="n">
        <x:v>46132.63255678241</x:v>
      </x:c>
      <x:c r="D68" s="107" t="n">
        <x:v>46132.635123182874</x:v>
      </x:c>
      <x:c r="E68" s="107" t="n">
        <x:v>46132.63859540509</x:v>
      </x:c>
      <x:c r="F68" s="76" t="str">
        <x:v>registration</x:v>
      </x:c>
      <x:c r="G68" s="113" t="n">
        <x:f>ROUND((E68-D68)*1440,1)</x:f>
        <x:v>5</x:v>
      </x:c>
      <x:c r="H68" s="113" t="n">
        <x:f>ROUND((D68-C68)*1440,1)</x:f>
        <x:v>3.7</x:v>
      </x:c>
      <x:c r="I68" s="113" t="n">
        <x:f>ROUND((E68-C68)*1440,1)</x:f>
        <x:v>8.7</x:v>
      </x:c>
      <x:c r="J68" s="113" t="n">
        <x:f>IF(A68=A67,ROUND((C68-C67)*1440,1),0)</x:f>
        <x:v>1.9</x:v>
      </x:c>
      <x:c r="K68" s="76" t="str">
        <x:v>FrontDesk-01</x:v>
      </x:c>
      <x:c r="L68" s="113" t="n">
        <x:f>MAX(0,COUNTIFS($A$2:$A$401,A68,$C$2:$C$401,"&lt;"&amp;C68,$E$2:$E$401,"&gt;"&amp;C68)-1)</x:f>
        <x:v>0</x:v>
      </x:c>
      <x:c r="M68" s="113" t="n">
        <x:f>HOUR(C68)</x:f>
        <x:v>15</x:v>
      </x:c>
      <x:c r="N68" s="119" t="n">
        <x:f>ROUND((C68-A68-TIME(8,0,0))*1440,1)</x:f>
        <x:v>430.9</x:v>
      </x:c>
    </x:row>
    <x:row r="69" ht="18" customHeight="1">
      <x:c r="A69" s="101" t="n">
        <x:v>46132</x:v>
      </x:c>
      <x:c r="B69" s="76" t="str">
        <x:v>P0068</x:v>
      </x:c>
      <x:c r="C69" s="107" t="n">
        <x:v>46132.63875162037</x:v>
      </x:c>
      <x:c r="D69" s="107" t="n">
        <x:v>46132.63875162037</x:v>
      </x:c>
      <x:c r="E69" s="107" t="n">
        <x:v>46132.64173773148</x:v>
      </x:c>
      <x:c r="F69" s="76" t="str">
        <x:v>registration</x:v>
      </x:c>
      <x:c r="G69" s="113" t="n">
        <x:f>ROUND((E69-D69)*1440,1)</x:f>
        <x:v>4.3</x:v>
      </x:c>
      <x:c r="H69" s="113" t="n">
        <x:f>ROUND((D69-C69)*1440,1)</x:f>
        <x:v>0</x:v>
      </x:c>
      <x:c r="I69" s="113" t="n">
        <x:f>ROUND((E69-C69)*1440,1)</x:f>
        <x:v>4.3</x:v>
      </x:c>
      <x:c r="J69" s="113" t="n">
        <x:f>IF(A69=A68,ROUND((C69-C68)*1440,1),0)</x:f>
        <x:v>8.9</x:v>
      </x:c>
      <x:c r="K69" s="76" t="str">
        <x:v>FrontDesk-01</x:v>
      </x:c>
      <x:c r="L69" s="113" t="n">
        <x:f>MAX(0,COUNTIFS($A$2:$A$401,A69,$C$2:$C$401,"&lt;"&amp;C69,$E$2:$E$401,"&gt;"&amp;C69)-1)</x:f>
        <x:v>0</x:v>
      </x:c>
      <x:c r="M69" s="113" t="n">
        <x:f>HOUR(C69)</x:f>
        <x:v>15</x:v>
      </x:c>
      <x:c r="N69" s="119" t="n">
        <x:f>ROUND((C69-A69-TIME(8,0,0))*1440,1)</x:f>
        <x:v>439.8</x:v>
      </x:c>
    </x:row>
    <x:row r="70" ht="18" customHeight="1">
      <x:c r="A70" s="101" t="n">
        <x:v>46132</x:v>
      </x:c>
      <x:c r="B70" s="76" t="str">
        <x:v>P0069</x:v>
      </x:c>
      <x:c r="C70" s="107" t="n">
        <x:v>46132.641136875</x:v>
      </x:c>
      <x:c r="D70" s="107" t="n">
        <x:v>46132.64173773148</x:v>
      </x:c>
      <x:c r="E70" s="107" t="n">
        <x:v>46132.64472384259</x:v>
      </x:c>
      <x:c r="F70" s="76" t="str">
        <x:v>registration</x:v>
      </x:c>
      <x:c r="G70" s="113" t="n">
        <x:f>ROUND((E70-D70)*1440,1)</x:f>
        <x:v>4.3</x:v>
      </x:c>
      <x:c r="H70" s="113" t="n">
        <x:f>ROUND((D70-C70)*1440,1)</x:f>
        <x:v>0.9</x:v>
      </x:c>
      <x:c r="I70" s="113" t="n">
        <x:f>ROUND((E70-C70)*1440,1)</x:f>
        <x:v>5.2</x:v>
      </x:c>
      <x:c r="J70" s="113" t="n">
        <x:f>IF(A70=A69,ROUND((C70-C69)*1440,1),0)</x:f>
        <x:v>3.4</x:v>
      </x:c>
      <x:c r="K70" s="76" t="str">
        <x:v>FrontDesk-01</x:v>
      </x:c>
      <x:c r="L70" s="113" t="n">
        <x:f>MAX(0,COUNTIFS($A$2:$A$401,A70,$C$2:$C$401,"&lt;"&amp;C70,$E$2:$E$401,"&gt;"&amp;C70)-1)</x:f>
        <x:v>0</x:v>
      </x:c>
      <x:c r="M70" s="113" t="n">
        <x:f>HOUR(C70)</x:f>
        <x:v>15</x:v>
      </x:c>
      <x:c r="N70" s="119" t="n">
        <x:f>ROUND((C70-A70-TIME(8,0,0))*1440,1)</x:f>
        <x:v>443.2</x:v>
      </x:c>
    </x:row>
    <x:row r="71" ht="18" customHeight="1">
      <x:c r="A71" s="101" t="n">
        <x:v>46132</x:v>
      </x:c>
      <x:c r="B71" s="76" t="str">
        <x:v>P0070</x:v>
      </x:c>
      <x:c r="C71" s="107" t="n">
        <x:v>46132.64320047454</x:v>
      </x:c>
      <x:c r="D71" s="107" t="n">
        <x:v>46132.64472384259</x:v>
      </x:c>
      <x:c r="E71" s="107" t="n">
        <x:v>46132.646946064815</x:v>
      </x:c>
      <x:c r="F71" s="76" t="str">
        <x:v>report_collection</x:v>
      </x:c>
      <x:c r="G71" s="113" t="n">
        <x:f>ROUND((E71-D71)*1440,1)</x:f>
        <x:v>3.2</x:v>
      </x:c>
      <x:c r="H71" s="113" t="n">
        <x:f>ROUND((D71-C71)*1440,1)</x:f>
        <x:v>2.2</x:v>
      </x:c>
      <x:c r="I71" s="113" t="n">
        <x:f>ROUND((E71-C71)*1440,1)</x:f>
        <x:v>5.4</x:v>
      </x:c>
      <x:c r="J71" s="113" t="n">
        <x:f>IF(A71=A70,ROUND((C71-C70)*1440,1),0)</x:f>
        <x:v>3</x:v>
      </x:c>
      <x:c r="K71" s="76" t="str">
        <x:v>FrontDesk-01</x:v>
      </x:c>
      <x:c r="L71" s="113" t="n">
        <x:f>MAX(0,COUNTIFS($A$2:$A$401,A71,$C$2:$C$401,"&lt;"&amp;C71,$E$2:$E$401,"&gt;"&amp;C71)-1)</x:f>
        <x:v>0</x:v>
      </x:c>
      <x:c r="M71" s="113" t="n">
        <x:f>HOUR(C71)</x:f>
        <x:v>15</x:v>
      </x:c>
      <x:c r="N71" s="119" t="n">
        <x:f>ROUND((C71-A71-TIME(8,0,0))*1440,1)</x:f>
        <x:v>446.2</x:v>
      </x:c>
    </x:row>
    <x:row r="72" ht="18" customHeight="1">
      <x:c r="A72" s="101" t="n">
        <x:v>46132</x:v>
      </x:c>
      <x:c r="B72" s="76" t="str">
        <x:v>P0071</x:v>
      </x:c>
      <x:c r="C72" s="107" t="n">
        <x:v>46132.643996921295</x:v>
      </x:c>
      <x:c r="D72" s="107" t="n">
        <x:v>46132.646946064815</x:v>
      </x:c>
      <x:c r="E72" s="107" t="n">
        <x:v>46132.65048773148</x:v>
      </x:c>
      <x:c r="F72" s="76" t="str">
        <x:v>registration</x:v>
      </x:c>
      <x:c r="G72" s="113" t="n">
        <x:f>ROUND((E72-D72)*1440,1)</x:f>
        <x:v>5.1</x:v>
      </x:c>
      <x:c r="H72" s="113" t="n">
        <x:f>ROUND((D72-C72)*1440,1)</x:f>
        <x:v>4.2</x:v>
      </x:c>
      <x:c r="I72" s="113" t="n">
        <x:f>ROUND((E72-C72)*1440,1)</x:f>
        <x:v>9.3</x:v>
      </x:c>
      <x:c r="J72" s="113" t="n">
        <x:f>IF(A72=A71,ROUND((C72-C71)*1440,1),0)</x:f>
        <x:v>1.1</x:v>
      </x:c>
      <x:c r="K72" s="76" t="str">
        <x:v>FrontDesk-01</x:v>
      </x:c>
      <x:c r="L72" s="113" t="n">
        <x:f>MAX(0,COUNTIFS($A$2:$A$401,A72,$C$2:$C$401,"&lt;"&amp;C72,$E$2:$E$401,"&gt;"&amp;C72)-1)</x:f>
        <x:v>1</x:v>
      </x:c>
      <x:c r="M72" s="113" t="n">
        <x:f>HOUR(C72)</x:f>
        <x:v>15</x:v>
      </x:c>
      <x:c r="N72" s="119" t="n">
        <x:f>ROUND((C72-A72-TIME(8,0,0))*1440,1)</x:f>
        <x:v>447.4</x:v>
      </x:c>
    </x:row>
    <x:row r="73" ht="18" customHeight="1">
      <x:c r="A73" s="101" t="n">
        <x:v>46132</x:v>
      </x:c>
      <x:c r="B73" s="76" t="str">
        <x:v>P0072</x:v>
      </x:c>
      <x:c r="C73" s="107" t="n">
        <x:v>46132.64441390046</x:v>
      </x:c>
      <x:c r="D73" s="107" t="n">
        <x:v>46132.65048773148</x:v>
      </x:c>
      <x:c r="E73" s="107" t="n">
        <x:v>46132.65389050926</x:v>
      </x:c>
      <x:c r="F73" s="76" t="str">
        <x:v>sample_submission</x:v>
      </x:c>
      <x:c r="G73" s="113" t="n">
        <x:f>ROUND((E73-D73)*1440,1)</x:f>
        <x:v>4.9</x:v>
      </x:c>
      <x:c r="H73" s="113" t="n">
        <x:f>ROUND((D73-C73)*1440,1)</x:f>
        <x:v>8.7</x:v>
      </x:c>
      <x:c r="I73" s="113" t="n">
        <x:f>ROUND((E73-C73)*1440,1)</x:f>
        <x:v>13.6</x:v>
      </x:c>
      <x:c r="J73" s="113" t="n">
        <x:f>IF(A73=A72,ROUND((C73-C72)*1440,1),0)</x:f>
        <x:v>0.6</x:v>
      </x:c>
      <x:c r="K73" s="76" t="str">
        <x:v>FrontDesk-01</x:v>
      </x:c>
      <x:c r="L73" s="113" t="n">
        <x:f>MAX(0,COUNTIFS($A$2:$A$401,A73,$C$2:$C$401,"&lt;"&amp;C73,$E$2:$E$401,"&gt;"&amp;C73)-1)</x:f>
        <x:v>2</x:v>
      </x:c>
      <x:c r="M73" s="113" t="n">
        <x:f>HOUR(C73)</x:f>
        <x:v>15</x:v>
      </x:c>
      <x:c r="N73" s="119" t="n">
        <x:f>ROUND((C73-A73-TIME(8,0,0))*1440,1)</x:f>
        <x:v>448</x:v>
      </x:c>
    </x:row>
    <x:row r="74" ht="18" customHeight="1">
      <x:c r="A74" s="101" t="n">
        <x:v>46132</x:v>
      </x:c>
      <x:c r="B74" s="76" t="str">
        <x:v>P0073</x:v>
      </x:c>
      <x:c r="C74" s="107" t="n">
        <x:v>46132.64535571759</x:v>
      </x:c>
      <x:c r="D74" s="107" t="n">
        <x:v>46132.65389050926</x:v>
      </x:c>
      <x:c r="E74" s="107" t="n">
        <x:v>46132.6552099537</x:v>
      </x:c>
      <x:c r="F74" s="76" t="str">
        <x:v>inquiry</x:v>
      </x:c>
      <x:c r="G74" s="113" t="n">
        <x:f>ROUND((E74-D74)*1440,1)</x:f>
        <x:v>1.9</x:v>
      </x:c>
      <x:c r="H74" s="113" t="n">
        <x:f>ROUND((D74-C74)*1440,1)</x:f>
        <x:v>12.3</x:v>
      </x:c>
      <x:c r="I74" s="113" t="n">
        <x:f>ROUND((E74-C74)*1440,1)</x:f>
        <x:v>14.2</x:v>
      </x:c>
      <x:c r="J74" s="113" t="n">
        <x:f>IF(A74=A73,ROUND((C74-C73)*1440,1),0)</x:f>
        <x:v>1.4</x:v>
      </x:c>
      <x:c r="K74" s="76" t="str">
        <x:v>FrontDesk-01</x:v>
      </x:c>
      <x:c r="L74" s="113" t="n">
        <x:f>MAX(0,COUNTIFS($A$2:$A$401,A74,$C$2:$C$401,"&lt;"&amp;C74,$E$2:$E$401,"&gt;"&amp;C74)-1)</x:f>
        <x:v>2</x:v>
      </x:c>
      <x:c r="M74" s="113" t="n">
        <x:f>HOUR(C74)</x:f>
        <x:v>15</x:v>
      </x:c>
      <x:c r="N74" s="119" t="n">
        <x:f>ROUND((C74-A74-TIME(8,0,0))*1440,1)</x:f>
        <x:v>449.3</x:v>
      </x:c>
    </x:row>
    <x:row r="75" ht="18" customHeight="1">
      <x:c r="A75" s="101" t="n">
        <x:v>46132</x:v>
      </x:c>
      <x:c r="B75" s="76" t="str">
        <x:v>P0074</x:v>
      </x:c>
      <x:c r="C75" s="107" t="n">
        <x:v>46132.65031833333</x:v>
      </x:c>
      <x:c r="D75" s="107" t="n">
        <x:v>46132.6552099537</x:v>
      </x:c>
      <x:c r="E75" s="107" t="n">
        <x:v>46132.65611273148</x:v>
      </x:c>
      <x:c r="F75" s="76" t="str">
        <x:v>inquiry</x:v>
      </x:c>
      <x:c r="G75" s="113" t="n">
        <x:f>ROUND((E75-D75)*1440,1)</x:f>
        <x:v>1.3</x:v>
      </x:c>
      <x:c r="H75" s="113" t="n">
        <x:f>ROUND((D75-C75)*1440,1)</x:f>
        <x:v>7</x:v>
      </x:c>
      <x:c r="I75" s="113" t="n">
        <x:f>ROUND((E75-C75)*1440,1)</x:f>
        <x:v>8.3</x:v>
      </x:c>
      <x:c r="J75" s="113" t="n">
        <x:f>IF(A75=A74,ROUND((C75-C74)*1440,1),0)</x:f>
        <x:v>7.1</x:v>
      </x:c>
      <x:c r="K75" s="76" t="str">
        <x:v>FrontDesk-01</x:v>
      </x:c>
      <x:c r="L75" s="113" t="n">
        <x:f>MAX(0,COUNTIFS($A$2:$A$401,A75,$C$2:$C$401,"&lt;"&amp;C75,$E$2:$E$401,"&gt;"&amp;C75)-1)</x:f>
        <x:v>2</x:v>
      </x:c>
      <x:c r="M75" s="113" t="n">
        <x:f>HOUR(C75)</x:f>
        <x:v>15</x:v>
      </x:c>
      <x:c r="N75" s="119" t="n">
        <x:f>ROUND((C75-A75-TIME(8,0,0))*1440,1)</x:f>
        <x:v>456.5</x:v>
      </x:c>
    </x:row>
    <x:row r="76" ht="18" customHeight="1">
      <x:c r="A76" s="101" t="n">
        <x:v>46132</x:v>
      </x:c>
      <x:c r="B76" s="76" t="str">
        <x:v>P0075</x:v>
      </x:c>
      <x:c r="C76" s="107" t="n">
        <x:v>46132.65654625</x:v>
      </x:c>
      <x:c r="D76" s="107" t="n">
        <x:v>46132.65654625</x:v>
      </x:c>
      <x:c r="E76" s="107" t="n">
        <x:v>46132.65967125</x:v>
      </x:c>
      <x:c r="F76" s="76" t="str">
        <x:v>appointment_booking</x:v>
      </x:c>
      <x:c r="G76" s="113" t="n">
        <x:f>ROUND((E76-D76)*1440,1)</x:f>
        <x:v>4.5</x:v>
      </x:c>
      <x:c r="H76" s="113" t="n">
        <x:f>ROUND((D76-C76)*1440,1)</x:f>
        <x:v>0</x:v>
      </x:c>
      <x:c r="I76" s="113" t="n">
        <x:f>ROUND((E76-C76)*1440,1)</x:f>
        <x:v>4.5</x:v>
      </x:c>
      <x:c r="J76" s="113" t="n">
        <x:f>IF(A76=A75,ROUND((C76-C75)*1440,1),0)</x:f>
        <x:v>9</x:v>
      </x:c>
      <x:c r="K76" s="76" t="str">
        <x:v>FrontDesk-01</x:v>
      </x:c>
      <x:c r="L76" s="113" t="n">
        <x:f>MAX(0,COUNTIFS($A$2:$A$401,A76,$C$2:$C$401,"&lt;"&amp;C76,$E$2:$E$401,"&gt;"&amp;C76)-1)</x:f>
        <x:v>0</x:v>
      </x:c>
      <x:c r="M76" s="113" t="n">
        <x:f>HOUR(C76)</x:f>
        <x:v>15</x:v>
      </x:c>
      <x:c r="N76" s="119" t="n">
        <x:f>ROUND((C76-A76-TIME(8,0,0))*1440,1)</x:f>
        <x:v>465.4</x:v>
      </x:c>
    </x:row>
    <x:row r="77" ht="18" customHeight="1">
      <x:c r="A77" s="101" t="n">
        <x:v>46132</x:v>
      </x:c>
      <x:c r="B77" s="76" t="str">
        <x:v>P0076</x:v>
      </x:c>
      <x:c r="C77" s="107" t="n">
        <x:v>46132.66410400463</x:v>
      </x:c>
      <x:c r="D77" s="107" t="n">
        <x:v>46132.66410400463</x:v>
      </x:c>
      <x:c r="E77" s="107" t="n">
        <x:v>46132.66715956019</x:v>
      </x:c>
      <x:c r="F77" s="76" t="str">
        <x:v>billing_payment</x:v>
      </x:c>
      <x:c r="G77" s="113" t="n">
        <x:f>ROUND((E77-D77)*1440,1)</x:f>
        <x:v>4.4</x:v>
      </x:c>
      <x:c r="H77" s="113" t="n">
        <x:f>ROUND((D77-C77)*1440,1)</x:f>
        <x:v>0</x:v>
      </x:c>
      <x:c r="I77" s="113" t="n">
        <x:f>ROUND((E77-C77)*1440,1)</x:f>
        <x:v>4.4</x:v>
      </x:c>
      <x:c r="J77" s="113" t="n">
        <x:f>IF(A77=A76,ROUND((C77-C76)*1440,1),0)</x:f>
        <x:v>10.9</x:v>
      </x:c>
      <x:c r="K77" s="76" t="str">
        <x:v>FrontDesk-01</x:v>
      </x:c>
      <x:c r="L77" s="113" t="n">
        <x:f>MAX(0,COUNTIFS($A$2:$A$401,A77,$C$2:$C$401,"&lt;"&amp;C77,$E$2:$E$401,"&gt;"&amp;C77)-1)</x:f>
        <x:v>0</x:v>
      </x:c>
      <x:c r="M77" s="113" t="n">
        <x:f>HOUR(C77)</x:f>
        <x:v>15</x:v>
      </x:c>
      <x:c r="N77" s="119" t="n">
        <x:f>ROUND((C77-A77-TIME(8,0,0))*1440,1)</x:f>
        <x:v>476.3</x:v>
      </x:c>
    </x:row>
    <x:row r="78" ht="18" customHeight="1">
      <x:c r="A78" s="101" t="n">
        <x:v>46133</x:v>
      </x:c>
      <x:c r="B78" s="76" t="str">
        <x:v>P0077</x:v>
      </x:c>
      <x:c r="C78" s="107" t="n">
        <x:v>46133.3373612963</x:v>
      </x:c>
      <x:c r="D78" s="107" t="n">
        <x:v>46133.3373612963</x:v>
      </x:c>
      <x:c r="E78" s="107" t="n">
        <x:v>46133.340000185184</x:v>
      </x:c>
      <x:c r="F78" s="76" t="str">
        <x:v>registration</x:v>
      </x:c>
      <x:c r="G78" s="113" t="n">
        <x:f>ROUND((E78-D78)*1440,1)</x:f>
        <x:v>3.8</x:v>
      </x:c>
      <x:c r="H78" s="113" t="n">
        <x:f>ROUND((D78-C78)*1440,1)</x:f>
        <x:v>0</x:v>
      </x:c>
      <x:c r="I78" s="113" t="n">
        <x:f>ROUND((E78-C78)*1440,1)</x:f>
        <x:v>3.8</x:v>
      </x:c>
      <x:c r="J78" s="113" t="n">
        <x:f>IF(A78=A77,ROUND((C78-C77)*1440,1),0)</x:f>
        <x:v>0</x:v>
      </x:c>
      <x:c r="K78" s="76" t="str">
        <x:v>FrontDesk-01</x:v>
      </x:c>
      <x:c r="L78" s="113" t="n">
        <x:f>MAX(0,COUNTIFS($A$2:$A$401,A78,$C$2:$C$401,"&lt;"&amp;C78,$E$2:$E$401,"&gt;"&amp;C78)-1)</x:f>
        <x:v>0</x:v>
      </x:c>
      <x:c r="M78" s="113" t="n">
        <x:f>HOUR(C78)</x:f>
        <x:v>8</x:v>
      </x:c>
      <x:c r="N78" s="119" t="n">
        <x:f>ROUND((C78-A78-TIME(8,0,0))*1440,1)</x:f>
        <x:v>5.8</x:v>
      </x:c>
    </x:row>
    <x:row r="79" ht="18" customHeight="1">
      <x:c r="A79" s="101" t="n">
        <x:v>46133</x:v>
      </x:c>
      <x:c r="B79" s="76" t="str">
        <x:v>P0078</x:v>
      </x:c>
      <x:c r="C79" s="107" t="n">
        <x:v>46133.3406406713</x:v>
      </x:c>
      <x:c r="D79" s="107" t="n">
        <x:v>46133.3406406713</x:v>
      </x:c>
      <x:c r="E79" s="107" t="n">
        <x:v>46133.34321011574</x:v>
      </x:c>
      <x:c r="F79" s="76" t="str">
        <x:v>registration</x:v>
      </x:c>
      <x:c r="G79" s="113" t="n">
        <x:f>ROUND((E79-D79)*1440,1)</x:f>
        <x:v>3.7</x:v>
      </x:c>
      <x:c r="H79" s="113" t="n">
        <x:f>ROUND((D79-C79)*1440,1)</x:f>
        <x:v>0</x:v>
      </x:c>
      <x:c r="I79" s="113" t="n">
        <x:f>ROUND((E79-C79)*1440,1)</x:f>
        <x:v>3.7</x:v>
      </x:c>
      <x:c r="J79" s="113" t="n">
        <x:f>IF(A79=A78,ROUND((C79-C78)*1440,1),0)</x:f>
        <x:v>4.7</x:v>
      </x:c>
      <x:c r="K79" s="76" t="str">
        <x:v>FrontDesk-01</x:v>
      </x:c>
      <x:c r="L79" s="113" t="n">
        <x:f>MAX(0,COUNTIFS($A$2:$A$401,A79,$C$2:$C$401,"&lt;"&amp;C79,$E$2:$E$401,"&gt;"&amp;C79)-1)</x:f>
        <x:v>0</x:v>
      </x:c>
      <x:c r="M79" s="113" t="n">
        <x:f>HOUR(C79)</x:f>
        <x:v>8</x:v>
      </x:c>
      <x:c r="N79" s="119" t="n">
        <x:f>ROUND((C79-A79-TIME(8,0,0))*1440,1)</x:f>
        <x:v>10.5</x:v>
      </x:c>
    </x:row>
    <x:row r="80" ht="18" customHeight="1">
      <x:c r="A80" s="101" t="n">
        <x:v>46133</x:v>
      </x:c>
      <x:c r="B80" s="76" t="str">
        <x:v>P0079</x:v>
      </x:c>
      <x:c r="C80" s="107" t="n">
        <x:v>46133.34822818287</x:v>
      </x:c>
      <x:c r="D80" s="107" t="n">
        <x:v>46133.34822818287</x:v>
      </x:c>
      <x:c r="E80" s="107" t="n">
        <x:v>46133.348922627316</x:v>
      </x:c>
      <x:c r="F80" s="76" t="str">
        <x:v>inquiry</x:v>
      </x:c>
      <x:c r="G80" s="113" t="n">
        <x:f>ROUND((E80-D80)*1440,1)</x:f>
        <x:v>1</x:v>
      </x:c>
      <x:c r="H80" s="113" t="n">
        <x:f>ROUND((D80-C80)*1440,1)</x:f>
        <x:v>0</x:v>
      </x:c>
      <x:c r="I80" s="113" t="n">
        <x:f>ROUND((E80-C80)*1440,1)</x:f>
        <x:v>1</x:v>
      </x:c>
      <x:c r="J80" s="113" t="n">
        <x:f>IF(A80=A79,ROUND((C80-C79)*1440,1),0)</x:f>
        <x:v>10.9</x:v>
      </x:c>
      <x:c r="K80" s="76" t="str">
        <x:v>FrontDesk-01</x:v>
      </x:c>
      <x:c r="L80" s="113" t="n">
        <x:f>MAX(0,COUNTIFS($A$2:$A$401,A80,$C$2:$C$401,"&lt;"&amp;C80,$E$2:$E$401,"&gt;"&amp;C80)-1)</x:f>
        <x:v>0</x:v>
      </x:c>
      <x:c r="M80" s="113" t="n">
        <x:f>HOUR(C80)</x:f>
        <x:v>8</x:v>
      </x:c>
      <x:c r="N80" s="119" t="n">
        <x:f>ROUND((C80-A80-TIME(8,0,0))*1440,1)</x:f>
        <x:v>21.4</x:v>
      </x:c>
    </x:row>
    <x:row r="81" ht="18" customHeight="1">
      <x:c r="A81" s="101" t="n">
        <x:v>46133</x:v>
      </x:c>
      <x:c r="B81" s="76" t="str">
        <x:v>P0080</x:v>
      </x:c>
      <x:c r="C81" s="107" t="n">
        <x:v>46133.34936864583</x:v>
      </x:c>
      <x:c r="D81" s="107" t="n">
        <x:v>46133.34936864583</x:v>
      </x:c>
      <x:c r="E81" s="107" t="n">
        <x:v>46133.35172975694</x:v>
      </x:c>
      <x:c r="F81" s="76" t="str">
        <x:v>sample_submission</x:v>
      </x:c>
      <x:c r="G81" s="113" t="n">
        <x:f>ROUND((E81-D81)*1440,1)</x:f>
        <x:v>3.4</x:v>
      </x:c>
      <x:c r="H81" s="113" t="n">
        <x:f>ROUND((D81-C81)*1440,1)</x:f>
        <x:v>0</x:v>
      </x:c>
      <x:c r="I81" s="113" t="n">
        <x:f>ROUND((E81-C81)*1440,1)</x:f>
        <x:v>3.4</x:v>
      </x:c>
      <x:c r="J81" s="113" t="n">
        <x:f>IF(A81=A80,ROUND((C81-C80)*1440,1),0)</x:f>
        <x:v>1.6</x:v>
      </x:c>
      <x:c r="K81" s="76" t="str">
        <x:v>FrontDesk-01</x:v>
      </x:c>
      <x:c r="L81" s="113" t="n">
        <x:f>MAX(0,COUNTIFS($A$2:$A$401,A81,$C$2:$C$401,"&lt;"&amp;C81,$E$2:$E$401,"&gt;"&amp;C81)-1)</x:f>
        <x:v>0</x:v>
      </x:c>
      <x:c r="M81" s="113" t="n">
        <x:f>HOUR(C81)</x:f>
        <x:v>8</x:v>
      </x:c>
      <x:c r="N81" s="119" t="n">
        <x:f>ROUND((C81-A81-TIME(8,0,0))*1440,1)</x:f>
        <x:v>23.1</x:v>
      </x:c>
    </x:row>
    <x:row r="82" ht="18" customHeight="1">
      <x:c r="A82" s="101" t="n">
        <x:v>46133</x:v>
      </x:c>
      <x:c r="B82" s="76" t="str">
        <x:v>P0081</x:v>
      </x:c>
      <x:c r="C82" s="107" t="n">
        <x:v>46133.35051733796</x:v>
      </x:c>
      <x:c r="D82" s="107" t="n">
        <x:v>46133.35172975694</x:v>
      </x:c>
      <x:c r="E82" s="107" t="n">
        <x:v>46133.35221586806</x:v>
      </x:c>
      <x:c r="F82" s="76" t="str">
        <x:v>inquiry</x:v>
      </x:c>
      <x:c r="G82" s="113" t="n">
        <x:f>ROUND((E82-D82)*1440,1)</x:f>
        <x:v>0.7</x:v>
      </x:c>
      <x:c r="H82" s="113" t="n">
        <x:f>ROUND((D82-C82)*1440,1)</x:f>
        <x:v>1.7</x:v>
      </x:c>
      <x:c r="I82" s="113" t="n">
        <x:f>ROUND((E82-C82)*1440,1)</x:f>
        <x:v>2.4</x:v>
      </x:c>
      <x:c r="J82" s="113" t="n">
        <x:f>IF(A82=A81,ROUND((C82-C81)*1440,1),0)</x:f>
        <x:v>1.7</x:v>
      </x:c>
      <x:c r="K82" s="76" t="str">
        <x:v>FrontDesk-01</x:v>
      </x:c>
      <x:c r="L82" s="113" t="n">
        <x:f>MAX(0,COUNTIFS($A$2:$A$401,A82,$C$2:$C$401,"&lt;"&amp;C82,$E$2:$E$401,"&gt;"&amp;C82)-1)</x:f>
        <x:v>0</x:v>
      </x:c>
      <x:c r="M82" s="113" t="n">
        <x:f>HOUR(C82)</x:f>
        <x:v>8</x:v>
      </x:c>
      <x:c r="N82" s="119" t="n">
        <x:f>ROUND((C82-A82-TIME(8,0,0))*1440,1)</x:f>
        <x:v>24.7</x:v>
      </x:c>
    </x:row>
    <x:row r="83" ht="18" customHeight="1">
      <x:c r="A83" s="101" t="n">
        <x:v>46133</x:v>
      </x:c>
      <x:c r="B83" s="76" t="str">
        <x:v>P0082</x:v>
      </x:c>
      <x:c r="C83" s="107" t="n">
        <x:v>46133.35231869213</x:v>
      </x:c>
      <x:c r="D83" s="107" t="n">
        <x:v>46133.35231869213</x:v>
      </x:c>
      <x:c r="E83" s="107" t="n">
        <x:v>46133.35572146991</x:v>
      </x:c>
      <x:c r="F83" s="76" t="str">
        <x:v>billing_payment</x:v>
      </x:c>
      <x:c r="G83" s="113" t="n">
        <x:f>ROUND((E83-D83)*1440,1)</x:f>
        <x:v>4.9</x:v>
      </x:c>
      <x:c r="H83" s="113" t="n">
        <x:f>ROUND((D83-C83)*1440,1)</x:f>
        <x:v>0</x:v>
      </x:c>
      <x:c r="I83" s="113" t="n">
        <x:f>ROUND((E83-C83)*1440,1)</x:f>
        <x:v>4.9</x:v>
      </x:c>
      <x:c r="J83" s="113" t="n">
        <x:f>IF(A83=A82,ROUND((C83-C82)*1440,1),0)</x:f>
        <x:v>2.6</x:v>
      </x:c>
      <x:c r="K83" s="76" t="str">
        <x:v>FrontDesk-01</x:v>
      </x:c>
      <x:c r="L83" s="113" t="n">
        <x:f>MAX(0,COUNTIFS($A$2:$A$401,A83,$C$2:$C$401,"&lt;"&amp;C83,$E$2:$E$401,"&gt;"&amp;C83)-1)</x:f>
        <x:v>0</x:v>
      </x:c>
      <x:c r="M83" s="113" t="n">
        <x:f>HOUR(C83)</x:f>
        <x:v>8</x:v>
      </x:c>
      <x:c r="N83" s="119" t="n">
        <x:f>ROUND((C83-A83-TIME(8,0,0))*1440,1)</x:f>
        <x:v>27.3</x:v>
      </x:c>
    </x:row>
    <x:row r="84" ht="18" customHeight="1">
      <x:c r="A84" s="101" t="n">
        <x:v>46133</x:v>
      </x:c>
      <x:c r="B84" s="76" t="str">
        <x:v>P0083</x:v>
      </x:c>
      <x:c r="C84" s="107" t="n">
        <x:v>46133.35448671296</x:v>
      </x:c>
      <x:c r="D84" s="107" t="n">
        <x:v>46133.35572146991</x:v>
      </x:c>
      <x:c r="E84" s="107" t="n">
        <x:v>46133.358638136575</x:v>
      </x:c>
      <x:c r="F84" s="76" t="str">
        <x:v>registration</x:v>
      </x:c>
      <x:c r="G84" s="113" t="n">
        <x:f>ROUND((E84-D84)*1440,1)</x:f>
        <x:v>4.2</x:v>
      </x:c>
      <x:c r="H84" s="113" t="n">
        <x:f>ROUND((D84-C84)*1440,1)</x:f>
        <x:v>1.8</x:v>
      </x:c>
      <x:c r="I84" s="113" t="n">
        <x:f>ROUND((E84-C84)*1440,1)</x:f>
        <x:v>6</x:v>
      </x:c>
      <x:c r="J84" s="113" t="n">
        <x:f>IF(A84=A83,ROUND((C84-C83)*1440,1),0)</x:f>
        <x:v>3.1</x:v>
      </x:c>
      <x:c r="K84" s="76" t="str">
        <x:v>FrontDesk-01</x:v>
      </x:c>
      <x:c r="L84" s="113" t="n">
        <x:f>MAX(0,COUNTIFS($A$2:$A$401,A84,$C$2:$C$401,"&lt;"&amp;C84,$E$2:$E$401,"&gt;"&amp;C84)-1)</x:f>
        <x:v>0</x:v>
      </x:c>
      <x:c r="M84" s="113" t="n">
        <x:f>HOUR(C84)</x:f>
        <x:v>8</x:v>
      </x:c>
      <x:c r="N84" s="119" t="n">
        <x:f>ROUND((C84-A84-TIME(8,0,0))*1440,1)</x:f>
        <x:v>30.5</x:v>
      </x:c>
    </x:row>
    <x:row r="85" ht="18" customHeight="1">
      <x:c r="A85" s="101" t="n">
        <x:v>46133</x:v>
      </x:c>
      <x:c r="B85" s="76" t="str">
        <x:v>P0084</x:v>
      </x:c>
      <x:c r="C85" s="107" t="n">
        <x:v>46133.35824728009</x:v>
      </x:c>
      <x:c r="D85" s="107" t="n">
        <x:v>46133.358638136575</x:v>
      </x:c>
      <x:c r="E85" s="107" t="n">
        <x:v>46133.36072146991</x:v>
      </x:c>
      <x:c r="F85" s="76" t="str">
        <x:v>registration</x:v>
      </x:c>
      <x:c r="G85" s="113" t="n">
        <x:f>ROUND((E85-D85)*1440,1)</x:f>
        <x:v>3</x:v>
      </x:c>
      <x:c r="H85" s="113" t="n">
        <x:f>ROUND((D85-C85)*1440,1)</x:f>
        <x:v>0.6</x:v>
      </x:c>
      <x:c r="I85" s="113" t="n">
        <x:f>ROUND((E85-C85)*1440,1)</x:f>
        <x:v>3.6</x:v>
      </x:c>
      <x:c r="J85" s="113" t="n">
        <x:f>IF(A85=A84,ROUND((C85-C84)*1440,1),0)</x:f>
        <x:v>5.4</x:v>
      </x:c>
      <x:c r="K85" s="76" t="str">
        <x:v>FrontDesk-01</x:v>
      </x:c>
      <x:c r="L85" s="113" t="n">
        <x:f>MAX(0,COUNTIFS($A$2:$A$401,A85,$C$2:$C$401,"&lt;"&amp;C85,$E$2:$E$401,"&gt;"&amp;C85)-1)</x:f>
        <x:v>0</x:v>
      </x:c>
      <x:c r="M85" s="113" t="n">
        <x:f>HOUR(C85)</x:f>
        <x:v>8</x:v>
      </x:c>
      <x:c r="N85" s="119" t="n">
        <x:f>ROUND((C85-A85-TIME(8,0,0))*1440,1)</x:f>
        <x:v>35.9</x:v>
      </x:c>
    </x:row>
    <x:row r="86" ht="18" customHeight="1">
      <x:c r="A86" s="101" t="n">
        <x:v>46133</x:v>
      </x:c>
      <x:c r="B86" s="76" t="str">
        <x:v>P0085</x:v>
      </x:c>
      <x:c r="C86" s="107" t="n">
        <x:v>46133.36019115741</x:v>
      </x:c>
      <x:c r="D86" s="107" t="n">
        <x:v>46133.36072146991</x:v>
      </x:c>
      <x:c r="E86" s="107" t="n">
        <x:v>46133.36363813657</x:v>
      </x:c>
      <x:c r="F86" s="76" t="str">
        <x:v>sample_submission</x:v>
      </x:c>
      <x:c r="G86" s="113" t="n">
        <x:f>ROUND((E86-D86)*1440,1)</x:f>
        <x:v>4.2</x:v>
      </x:c>
      <x:c r="H86" s="113" t="n">
        <x:f>ROUND((D86-C86)*1440,1)</x:f>
        <x:v>0.8</x:v>
      </x:c>
      <x:c r="I86" s="113" t="n">
        <x:f>ROUND((E86-C86)*1440,1)</x:f>
        <x:v>5</x:v>
      </x:c>
      <x:c r="J86" s="113" t="n">
        <x:f>IF(A86=A85,ROUND((C86-C85)*1440,1),0)</x:f>
        <x:v>2.8</x:v>
      </x:c>
      <x:c r="K86" s="76" t="str">
        <x:v>FrontDesk-01</x:v>
      </x:c>
      <x:c r="L86" s="113" t="n">
        <x:f>MAX(0,COUNTIFS($A$2:$A$401,A86,$C$2:$C$401,"&lt;"&amp;C86,$E$2:$E$401,"&gt;"&amp;C86)-1)</x:f>
        <x:v>0</x:v>
      </x:c>
      <x:c r="M86" s="113" t="n">
        <x:f>HOUR(C86)</x:f>
        <x:v>8</x:v>
      </x:c>
      <x:c r="N86" s="119" t="n">
        <x:f>ROUND((C86-A86-TIME(8,0,0))*1440,1)</x:f>
        <x:v>38.7</x:v>
      </x:c>
    </x:row>
    <x:row r="87" ht="18" customHeight="1">
      <x:c r="A87" s="101" t="n">
        <x:v>46133</x:v>
      </x:c>
      <x:c r="B87" s="76" t="str">
        <x:v>P0086</x:v>
      </x:c>
      <x:c r="C87" s="107" t="n">
        <x:v>46133.36255829861</x:v>
      </x:c>
      <x:c r="D87" s="107" t="n">
        <x:v>46133.36363813657</x:v>
      </x:c>
      <x:c r="E87" s="107" t="n">
        <x:v>46133.36731869213</x:v>
      </x:c>
      <x:c r="F87" s="76" t="str">
        <x:v>registration</x:v>
      </x:c>
      <x:c r="G87" s="113" t="n">
        <x:f>ROUND((E87-D87)*1440,1)</x:f>
        <x:v>5.3</x:v>
      </x:c>
      <x:c r="H87" s="113" t="n">
        <x:f>ROUND((D87-C87)*1440,1)</x:f>
        <x:v>1.6</x:v>
      </x:c>
      <x:c r="I87" s="113" t="n">
        <x:f>ROUND((E87-C87)*1440,1)</x:f>
        <x:v>6.9</x:v>
      </x:c>
      <x:c r="J87" s="113" t="n">
        <x:f>IF(A87=A86,ROUND((C87-C86)*1440,1),0)</x:f>
        <x:v>3.4</x:v>
      </x:c>
      <x:c r="K87" s="76" t="str">
        <x:v>FrontDesk-01</x:v>
      </x:c>
      <x:c r="L87" s="113" t="n">
        <x:f>MAX(0,COUNTIFS($A$2:$A$401,A87,$C$2:$C$401,"&lt;"&amp;C87,$E$2:$E$401,"&gt;"&amp;C87)-1)</x:f>
        <x:v>0</x:v>
      </x:c>
      <x:c r="M87" s="113" t="n">
        <x:f>HOUR(C87)</x:f>
        <x:v>8</x:v>
      </x:c>
      <x:c r="N87" s="119" t="n">
        <x:f>ROUND((C87-A87-TIME(8,0,0))*1440,1)</x:f>
        <x:v>42.1</x:v>
      </x:c>
    </x:row>
    <x:row r="88" ht="18" customHeight="1">
      <x:c r="A88" s="101" t="n">
        <x:v>46133</x:v>
      </x:c>
      <x:c r="B88" s="76" t="str">
        <x:v>P0087</x:v>
      </x:c>
      <x:c r="C88" s="107" t="n">
        <x:v>46133.3662275</x:v>
      </x:c>
      <x:c r="D88" s="107" t="n">
        <x:v>46133.36731869213</x:v>
      </x:c>
      <x:c r="E88" s="107" t="n">
        <x:v>46133.37009646991</x:v>
      </x:c>
      <x:c r="F88" s="76" t="str">
        <x:v>registration</x:v>
      </x:c>
      <x:c r="G88" s="113" t="n">
        <x:f>ROUND((E88-D88)*1440,1)</x:f>
        <x:v>4</x:v>
      </x:c>
      <x:c r="H88" s="113" t="n">
        <x:f>ROUND((D88-C88)*1440,1)</x:f>
        <x:v>1.6</x:v>
      </x:c>
      <x:c r="I88" s="113" t="n">
        <x:f>ROUND((E88-C88)*1440,1)</x:f>
        <x:v>5.6</x:v>
      </x:c>
      <x:c r="J88" s="113" t="n">
        <x:f>IF(A88=A87,ROUND((C88-C87)*1440,1),0)</x:f>
        <x:v>5.3</x:v>
      </x:c>
      <x:c r="K88" s="76" t="str">
        <x:v>FrontDesk-01</x:v>
      </x:c>
      <x:c r="L88" s="113" t="n">
        <x:f>MAX(0,COUNTIFS($A$2:$A$401,A88,$C$2:$C$401,"&lt;"&amp;C88,$E$2:$E$401,"&gt;"&amp;C88)-1)</x:f>
        <x:v>0</x:v>
      </x:c>
      <x:c r="M88" s="113" t="n">
        <x:f>HOUR(C88)</x:f>
        <x:v>8</x:v>
      </x:c>
      <x:c r="N88" s="119" t="n">
        <x:f>ROUND((C88-A88-TIME(8,0,0))*1440,1)</x:f>
        <x:v>47.4</x:v>
      </x:c>
    </x:row>
    <x:row r="89" ht="18" customHeight="1">
      <x:c r="A89" s="101" t="n">
        <x:v>46133</x:v>
      </x:c>
      <x:c r="B89" s="76" t="str">
        <x:v>P0088</x:v>
      </x:c>
      <x:c r="C89" s="107" t="n">
        <x:v>46133.36681010417</x:v>
      </x:c>
      <x:c r="D89" s="107" t="n">
        <x:v>46133.37009646991</x:v>
      </x:c>
      <x:c r="E89" s="107" t="n">
        <x:v>46133.37419369213</x:v>
      </x:c>
      <x:c r="F89" s="76" t="str">
        <x:v>sample_submission</x:v>
      </x:c>
      <x:c r="G89" s="113" t="n">
        <x:f>ROUND((E89-D89)*1440,1)</x:f>
        <x:v>5.9</x:v>
      </x:c>
      <x:c r="H89" s="113" t="n">
        <x:f>ROUND((D89-C89)*1440,1)</x:f>
        <x:v>4.7</x:v>
      </x:c>
      <x:c r="I89" s="113" t="n">
        <x:f>ROUND((E89-C89)*1440,1)</x:f>
        <x:v>10.6</x:v>
      </x:c>
      <x:c r="J89" s="113" t="n">
        <x:f>IF(A89=A88,ROUND((C89-C88)*1440,1),0)</x:f>
        <x:v>0.8</x:v>
      </x:c>
      <x:c r="K89" s="76" t="str">
        <x:v>FrontDesk-01</x:v>
      </x:c>
      <x:c r="L89" s="113" t="n">
        <x:f>MAX(0,COUNTIFS($A$2:$A$401,A89,$C$2:$C$401,"&lt;"&amp;C89,$E$2:$E$401,"&gt;"&amp;C89)-1)</x:f>
        <x:v>1</x:v>
      </x:c>
      <x:c r="M89" s="113" t="n">
        <x:f>HOUR(C89)</x:f>
        <x:v>8</x:v>
      </x:c>
      <x:c r="N89" s="119" t="n">
        <x:f>ROUND((C89-A89-TIME(8,0,0))*1440,1)</x:f>
        <x:v>48.2</x:v>
      </x:c>
    </x:row>
    <x:row r="90" ht="18" customHeight="1">
      <x:c r="A90" s="101" t="n">
        <x:v>46133</x:v>
      </x:c>
      <x:c r="B90" s="76" t="str">
        <x:v>P0089</x:v>
      </x:c>
      <x:c r="C90" s="107" t="n">
        <x:v>46133.36868260417</x:v>
      </x:c>
      <x:c r="D90" s="107" t="n">
        <x:v>46133.37419369213</x:v>
      </x:c>
      <x:c r="E90" s="107" t="n">
        <x:v>46133.37829091435</x:v>
      </x:c>
      <x:c r="F90" s="76" t="str">
        <x:v>registration</x:v>
      </x:c>
      <x:c r="G90" s="113" t="n">
        <x:f>ROUND((E90-D90)*1440,1)</x:f>
        <x:v>5.9</x:v>
      </x:c>
      <x:c r="H90" s="113" t="n">
        <x:f>ROUND((D90-C90)*1440,1)</x:f>
        <x:v>7.9</x:v>
      </x:c>
      <x:c r="I90" s="113" t="n">
        <x:f>ROUND((E90-C90)*1440,1)</x:f>
        <x:v>13.8</x:v>
      </x:c>
      <x:c r="J90" s="113" t="n">
        <x:f>IF(A90=A89,ROUND((C90-C89)*1440,1),0)</x:f>
        <x:v>2.7</x:v>
      </x:c>
      <x:c r="K90" s="76" t="str">
        <x:v>FrontDesk-01</x:v>
      </x:c>
      <x:c r="L90" s="113" t="n">
        <x:f>MAX(0,COUNTIFS($A$2:$A$401,A90,$C$2:$C$401,"&lt;"&amp;C90,$E$2:$E$401,"&gt;"&amp;C90)-1)</x:f>
        <x:v>1</x:v>
      </x:c>
      <x:c r="M90" s="113" t="n">
        <x:f>HOUR(C90)</x:f>
        <x:v>8</x:v>
      </x:c>
      <x:c r="N90" s="119" t="n">
        <x:f>ROUND((C90-A90-TIME(8,0,0))*1440,1)</x:f>
        <x:v>50.9</x:v>
      </x:c>
    </x:row>
    <x:row r="91" ht="18" customHeight="1">
      <x:c r="A91" s="101" t="n">
        <x:v>46133</x:v>
      </x:c>
      <x:c r="B91" s="76" t="str">
        <x:v>P0090</x:v>
      </x:c>
      <x:c r="C91" s="107" t="n">
        <x:v>46133.36979204861</x:v>
      </x:c>
      <x:c r="D91" s="107" t="n">
        <x:v>46133.37829091435</x:v>
      </x:c>
      <x:c r="E91" s="107" t="n">
        <x:v>46133.37995758102</x:v>
      </x:c>
      <x:c r="F91" s="76" t="str">
        <x:v>report_collection</x:v>
      </x:c>
      <x:c r="G91" s="113" t="n">
        <x:f>ROUND((E91-D91)*1440,1)</x:f>
        <x:v>2.4</x:v>
      </x:c>
      <x:c r="H91" s="113" t="n">
        <x:f>ROUND((D91-C91)*1440,1)</x:f>
        <x:v>12.2</x:v>
      </x:c>
      <x:c r="I91" s="113" t="n">
        <x:f>ROUND((E91-C91)*1440,1)</x:f>
        <x:v>14.6</x:v>
      </x:c>
      <x:c r="J91" s="113" t="n">
        <x:f>IF(A91=A90,ROUND((C91-C90)*1440,1),0)</x:f>
        <x:v>1.6</x:v>
      </x:c>
      <x:c r="K91" s="76" t="str">
        <x:v>FrontDesk-01</x:v>
      </x:c>
      <x:c r="L91" s="113" t="n">
        <x:f>MAX(0,COUNTIFS($A$2:$A$401,A91,$C$2:$C$401,"&lt;"&amp;C91,$E$2:$E$401,"&gt;"&amp;C91)-1)</x:f>
        <x:v>2</x:v>
      </x:c>
      <x:c r="M91" s="113" t="n">
        <x:f>HOUR(C91)</x:f>
        <x:v>8</x:v>
      </x:c>
      <x:c r="N91" s="119" t="n">
        <x:f>ROUND((C91-A91-TIME(8,0,0))*1440,1)</x:f>
        <x:v>52.5</x:v>
      </x:c>
    </x:row>
    <x:row r="92" ht="18" customHeight="1">
      <x:c r="A92" s="101" t="n">
        <x:v>46133</x:v>
      </x:c>
      <x:c r="B92" s="76" t="str">
        <x:v>P0091</x:v>
      </x:c>
      <x:c r="C92" s="107" t="n">
        <x:v>46133.3701465625</x:v>
      </x:c>
      <x:c r="D92" s="107" t="n">
        <x:v>46133.37995758102</x:v>
      </x:c>
      <x:c r="E92" s="107" t="n">
        <x:v>46133.3839853588</x:v>
      </x:c>
      <x:c r="F92" s="76" t="str">
        <x:v>sample_submission</x:v>
      </x:c>
      <x:c r="G92" s="113" t="n">
        <x:f>ROUND((E92-D92)*1440,1)</x:f>
        <x:v>5.8</x:v>
      </x:c>
      <x:c r="H92" s="113" t="n">
        <x:f>ROUND((D92-C92)*1440,1)</x:f>
        <x:v>14.1</x:v>
      </x:c>
      <x:c r="I92" s="113" t="n">
        <x:f>ROUND((E92-C92)*1440,1)</x:f>
        <x:v>19.9</x:v>
      </x:c>
      <x:c r="J92" s="113" t="n">
        <x:f>IF(A92=A91,ROUND((C92-C91)*1440,1),0)</x:f>
        <x:v>0.5</x:v>
      </x:c>
      <x:c r="K92" s="76" t="str">
        <x:v>FrontDesk-01</x:v>
      </x:c>
      <x:c r="L92" s="113" t="n">
        <x:f>MAX(0,COUNTIFS($A$2:$A$401,A92,$C$2:$C$401,"&lt;"&amp;C92,$E$2:$E$401,"&gt;"&amp;C92)-1)</x:f>
        <x:v>2</x:v>
      </x:c>
      <x:c r="M92" s="113" t="n">
        <x:f>HOUR(C92)</x:f>
        <x:v>8</x:v>
      </x:c>
      <x:c r="N92" s="119" t="n">
        <x:f>ROUND((C92-A92-TIME(8,0,0))*1440,1)</x:f>
        <x:v>53</x:v>
      </x:c>
    </x:row>
    <x:row r="93" ht="18" customHeight="1">
      <x:c r="A93" s="101" t="n">
        <x:v>46133</x:v>
      </x:c>
      <x:c r="B93" s="76" t="str">
        <x:v>P0092</x:v>
      </x:c>
      <x:c r="C93" s="107" t="n">
        <x:v>46133.37107094908</x:v>
      </x:c>
      <x:c r="D93" s="107" t="n">
        <x:v>46133.3839853588</x:v>
      </x:c>
      <x:c r="E93" s="107" t="n">
        <x:v>46133.38891591435</x:v>
      </x:c>
      <x:c r="F93" s="76" t="str">
        <x:v>sample_submission</x:v>
      </x:c>
      <x:c r="G93" s="113" t="n">
        <x:f>ROUND((E93-D93)*1440,1)</x:f>
        <x:v>7.1</x:v>
      </x:c>
      <x:c r="H93" s="113" t="n">
        <x:f>ROUND((D93-C93)*1440,1)</x:f>
        <x:v>18.6</x:v>
      </x:c>
      <x:c r="I93" s="113" t="n">
        <x:f>ROUND((E93-C93)*1440,1)</x:f>
        <x:v>25.7</x:v>
      </x:c>
      <x:c r="J93" s="113" t="n">
        <x:f>IF(A93=A92,ROUND((C93-C92)*1440,1),0)</x:f>
        <x:v>1.3</x:v>
      </x:c>
      <x:c r="K93" s="76" t="str">
        <x:v>FrontDesk-01</x:v>
      </x:c>
      <x:c r="L93" s="113" t="n">
        <x:f>MAX(0,COUNTIFS($A$2:$A$401,A93,$C$2:$C$401,"&lt;"&amp;C93,$E$2:$E$401,"&gt;"&amp;C93)-1)</x:f>
        <x:v>3</x:v>
      </x:c>
      <x:c r="M93" s="113" t="n">
        <x:f>HOUR(C93)</x:f>
        <x:v>8</x:v>
      </x:c>
      <x:c r="N93" s="119" t="n">
        <x:f>ROUND((C93-A93-TIME(8,0,0))*1440,1)</x:f>
        <x:v>54.3</x:v>
      </x:c>
    </x:row>
    <x:row r="94" ht="18" customHeight="1">
      <x:c r="A94" s="101" t="n">
        <x:v>46133</x:v>
      </x:c>
      <x:c r="B94" s="76" t="str">
        <x:v>P0093</x:v>
      </x:c>
      <x:c r="C94" s="107" t="n">
        <x:v>46133.37141211805</x:v>
      </x:c>
      <x:c r="D94" s="107" t="n">
        <x:v>46133.38891591435</x:v>
      </x:c>
      <x:c r="E94" s="107" t="n">
        <x:v>46133.39141591435</x:v>
      </x:c>
      <x:c r="F94" s="76" t="str">
        <x:v>appointment_booking</x:v>
      </x:c>
      <x:c r="G94" s="113" t="n">
        <x:f>ROUND((E94-D94)*1440,1)</x:f>
        <x:v>3.6</x:v>
      </x:c>
      <x:c r="H94" s="113" t="n">
        <x:f>ROUND((D94-C94)*1440,1)</x:f>
        <x:v>25.2</x:v>
      </x:c>
      <x:c r="I94" s="113" t="n">
        <x:f>ROUND((E94-C94)*1440,1)</x:f>
        <x:v>28.8</x:v>
      </x:c>
      <x:c r="J94" s="113" t="n">
        <x:f>IF(A94=A93,ROUND((C94-C93)*1440,1),0)</x:f>
        <x:v>0.5</x:v>
      </x:c>
      <x:c r="K94" s="76" t="str">
        <x:v>FrontDesk-01</x:v>
      </x:c>
      <x:c r="L94" s="113" t="n">
        <x:f>MAX(0,COUNTIFS($A$2:$A$401,A94,$C$2:$C$401,"&lt;"&amp;C94,$E$2:$E$401,"&gt;"&amp;C94)-1)</x:f>
        <x:v>4</x:v>
      </x:c>
      <x:c r="M94" s="113" t="n">
        <x:f>HOUR(C94)</x:f>
        <x:v>8</x:v>
      </x:c>
      <x:c r="N94" s="119" t="n">
        <x:f>ROUND((C94-A94-TIME(8,0,0))*1440,1)</x:f>
        <x:v>54.8</x:v>
      </x:c>
    </x:row>
    <x:row r="95" ht="18" customHeight="1">
      <x:c r="A95" s="101" t="n">
        <x:v>46133</x:v>
      </x:c>
      <x:c r="B95" s="76" t="str">
        <x:v>P0094</x:v>
      </x:c>
      <x:c r="C95" s="107" t="n">
        <x:v>46133.3772497338</x:v>
      </x:c>
      <x:c r="D95" s="107" t="n">
        <x:v>46133.39141591435</x:v>
      </x:c>
      <x:c r="E95" s="107" t="n">
        <x:v>46133.395235358796</x:v>
      </x:c>
      <x:c r="F95" s="76" t="str">
        <x:v>registration</x:v>
      </x:c>
      <x:c r="G95" s="113" t="n">
        <x:f>ROUND((E95-D95)*1440,1)</x:f>
        <x:v>5.5</x:v>
      </x:c>
      <x:c r="H95" s="113" t="n">
        <x:f>ROUND((D95-C95)*1440,1)</x:f>
        <x:v>20.4</x:v>
      </x:c>
      <x:c r="I95" s="113" t="n">
        <x:f>ROUND((E95-C95)*1440,1)</x:f>
        <x:v>25.9</x:v>
      </x:c>
      <x:c r="J95" s="113" t="n">
        <x:f>IF(A95=A94,ROUND((C95-C94)*1440,1),0)</x:f>
        <x:v>8.4</x:v>
      </x:c>
      <x:c r="K95" s="76" t="str">
        <x:v>FrontDesk-01</x:v>
      </x:c>
      <x:c r="L95" s="113" t="n">
        <x:f>MAX(0,COUNTIFS($A$2:$A$401,A95,$C$2:$C$401,"&lt;"&amp;C95,$E$2:$E$401,"&gt;"&amp;C95)-1)</x:f>
        <x:v>4</x:v>
      </x:c>
      <x:c r="M95" s="113" t="n">
        <x:f>HOUR(C95)</x:f>
        <x:v>9</x:v>
      </x:c>
      <x:c r="N95" s="119" t="n">
        <x:f>ROUND((C95-A95-TIME(8,0,0))*1440,1)</x:f>
        <x:v>63.2</x:v>
      </x:c>
    </x:row>
    <x:row r="96" ht="18" customHeight="1">
      <x:c r="A96" s="101" t="n">
        <x:v>46133</x:v>
      </x:c>
      <x:c r="B96" s="76" t="str">
        <x:v>P0095</x:v>
      </x:c>
      <x:c r="C96" s="107" t="n">
        <x:v>46133.37781290509</x:v>
      </x:c>
      <x:c r="D96" s="107" t="n">
        <x:v>46133.395235358796</x:v>
      </x:c>
      <x:c r="E96" s="107" t="n">
        <x:v>46133.39849924768</x:v>
      </x:c>
      <x:c r="F96" s="76" t="str">
        <x:v>appointment_booking</x:v>
      </x:c>
      <x:c r="G96" s="113" t="n">
        <x:f>ROUND((E96-D96)*1440,1)</x:f>
        <x:v>4.7</x:v>
      </x:c>
      <x:c r="H96" s="113" t="n">
        <x:f>ROUND((D96-C96)*1440,1)</x:f>
        <x:v>25.1</x:v>
      </x:c>
      <x:c r="I96" s="113" t="n">
        <x:f>ROUND((E96-C96)*1440,1)</x:f>
        <x:v>29.8</x:v>
      </x:c>
      <x:c r="J96" s="113" t="n">
        <x:f>IF(A96=A95,ROUND((C96-C95)*1440,1),0)</x:f>
        <x:v>0.8</x:v>
      </x:c>
      <x:c r="K96" s="76" t="str">
        <x:v>FrontDesk-01</x:v>
      </x:c>
      <x:c r="L96" s="113" t="n">
        <x:f>MAX(0,COUNTIFS($A$2:$A$401,A96,$C$2:$C$401,"&lt;"&amp;C96,$E$2:$E$401,"&gt;"&amp;C96)-1)</x:f>
        <x:v>5</x:v>
      </x:c>
      <x:c r="M96" s="113" t="n">
        <x:f>HOUR(C96)</x:f>
        <x:v>9</x:v>
      </x:c>
      <x:c r="N96" s="119" t="n">
        <x:f>ROUND((C96-A96-TIME(8,0,0))*1440,1)</x:f>
        <x:v>64.1</x:v>
      </x:c>
    </x:row>
    <x:row r="97" ht="18" customHeight="1">
      <x:c r="A97" s="101" t="n">
        <x:v>46133</x:v>
      </x:c>
      <x:c r="B97" s="76" t="str">
        <x:v>P0096</x:v>
      </x:c>
      <x:c r="C97" s="107" t="n">
        <x:v>46133.382900289354</x:v>
      </x:c>
      <x:c r="D97" s="107" t="n">
        <x:v>46133.39849924768</x:v>
      </x:c>
      <x:c r="E97" s="107" t="n">
        <x:v>46133.3996103588</x:v>
      </x:c>
      <x:c r="F97" s="76" t="str">
        <x:v>report_collection</x:v>
      </x:c>
      <x:c r="G97" s="113" t="n">
        <x:f>ROUND((E97-D97)*1440,1)</x:f>
        <x:v>1.6</x:v>
      </x:c>
      <x:c r="H97" s="113" t="n">
        <x:f>ROUND((D97-C97)*1440,1)</x:f>
        <x:v>22.5</x:v>
      </x:c>
      <x:c r="I97" s="113" t="n">
        <x:f>ROUND((E97-C97)*1440,1)</x:f>
        <x:v>24.1</x:v>
      </x:c>
      <x:c r="J97" s="113" t="n">
        <x:f>IF(A97=A96,ROUND((C97-C96)*1440,1),0)</x:f>
        <x:v>7.3</x:v>
      </x:c>
      <x:c r="K97" s="76" t="str">
        <x:v>FrontDesk-01</x:v>
      </x:c>
      <x:c r="L97" s="113" t="n">
        <x:f>MAX(0,COUNTIFS($A$2:$A$401,A97,$C$2:$C$401,"&lt;"&amp;C97,$E$2:$E$401,"&gt;"&amp;C97)-1)</x:f>
        <x:v>4</x:v>
      </x:c>
      <x:c r="M97" s="113" t="n">
        <x:f>HOUR(C97)</x:f>
        <x:v>9</x:v>
      </x:c>
      <x:c r="N97" s="119" t="n">
        <x:f>ROUND((C97-A97-TIME(8,0,0))*1440,1)</x:f>
        <x:v>71.4</x:v>
      </x:c>
    </x:row>
    <x:row r="98" ht="18" customHeight="1">
      <x:c r="A98" s="101" t="n">
        <x:v>46133</x:v>
      </x:c>
      <x:c r="B98" s="76" t="str">
        <x:v>P0097</x:v>
      </x:c>
      <x:c r="C98" s="107" t="n">
        <x:v>46133.392110671295</x:v>
      </x:c>
      <x:c r="D98" s="107" t="n">
        <x:v>46133.3996103588</x:v>
      </x:c>
      <x:c r="E98" s="107" t="n">
        <x:v>46133.40120758102</x:v>
      </x:c>
      <x:c r="F98" s="76" t="str">
        <x:v>report_collection</x:v>
      </x:c>
      <x:c r="G98" s="113" t="n">
        <x:f>ROUND((E98-D98)*1440,1)</x:f>
        <x:v>2.3</x:v>
      </x:c>
      <x:c r="H98" s="113" t="n">
        <x:f>ROUND((D98-C98)*1440,1)</x:f>
        <x:v>10.8</x:v>
      </x:c>
      <x:c r="I98" s="113" t="n">
        <x:f>ROUND((E98-C98)*1440,1)</x:f>
        <x:v>13.1</x:v>
      </x:c>
      <x:c r="J98" s="113" t="n">
        <x:f>IF(A98=A97,ROUND((C98-C97)*1440,1),0)</x:f>
        <x:v>13.3</x:v>
      </x:c>
      <x:c r="K98" s="76" t="str">
        <x:v>FrontDesk-01</x:v>
      </x:c>
      <x:c r="L98" s="113" t="n">
        <x:f>MAX(0,COUNTIFS($A$2:$A$401,A98,$C$2:$C$401,"&lt;"&amp;C98,$E$2:$E$401,"&gt;"&amp;C98)-1)</x:f>
        <x:v>2</x:v>
      </x:c>
      <x:c r="M98" s="113" t="n">
        <x:f>HOUR(C98)</x:f>
        <x:v>9</x:v>
      </x:c>
      <x:c r="N98" s="119" t="n">
        <x:f>ROUND((C98-A98-TIME(8,0,0))*1440,1)</x:f>
        <x:v>84.6</x:v>
      </x:c>
    </x:row>
    <x:row r="99" ht="18" customHeight="1">
      <x:c r="A99" s="101" t="n">
        <x:v>46133</x:v>
      </x:c>
      <x:c r="B99" s="76" t="str">
        <x:v>P0098</x:v>
      </x:c>
      <x:c r="C99" s="107" t="n">
        <x:v>46133.392378206016</x:v>
      </x:c>
      <x:c r="D99" s="107" t="n">
        <x:v>46133.40120758102</x:v>
      </x:c>
      <x:c r="E99" s="107" t="n">
        <x:v>46133.40204091435</x:v>
      </x:c>
      <x:c r="F99" s="76" t="str">
        <x:v>report_collection</x:v>
      </x:c>
      <x:c r="G99" s="113" t="n">
        <x:f>ROUND((E99-D99)*1440,1)</x:f>
        <x:v>1.2</x:v>
      </x:c>
      <x:c r="H99" s="113" t="n">
        <x:f>ROUND((D99-C99)*1440,1)</x:f>
        <x:v>12.7</x:v>
      </x:c>
      <x:c r="I99" s="113" t="n">
        <x:f>ROUND((E99-C99)*1440,1)</x:f>
        <x:v>13.9</x:v>
      </x:c>
      <x:c r="J99" s="113" t="n">
        <x:f>IF(A99=A98,ROUND((C99-C98)*1440,1),0)</x:f>
        <x:v>0.4</x:v>
      </x:c>
      <x:c r="K99" s="76" t="str">
        <x:v>FrontDesk-01</x:v>
      </x:c>
      <x:c r="L99" s="113" t="n">
        <x:f>MAX(0,COUNTIFS($A$2:$A$401,A99,$C$2:$C$401,"&lt;"&amp;C99,$E$2:$E$401,"&gt;"&amp;C99)-1)</x:f>
        <x:v>3</x:v>
      </x:c>
      <x:c r="M99" s="113" t="n">
        <x:f>HOUR(C99)</x:f>
        <x:v>9</x:v>
      </x:c>
      <x:c r="N99" s="119" t="n">
        <x:f>ROUND((C99-A99-TIME(8,0,0))*1440,1)</x:f>
        <x:v>85</x:v>
      </x:c>
    </x:row>
    <x:row r="100" ht="18" customHeight="1">
      <x:c r="A100" s="101" t="n">
        <x:v>46133</x:v>
      </x:c>
      <x:c r="B100" s="76" t="str">
        <x:v>P0099</x:v>
      </x:c>
      <x:c r="C100" s="107" t="n">
        <x:v>46133.393948923615</x:v>
      </x:c>
      <x:c r="D100" s="107" t="n">
        <x:v>46133.40204091435</x:v>
      </x:c>
      <x:c r="E100" s="107" t="n">
        <x:v>46133.40454091435</x:v>
      </x:c>
      <x:c r="F100" s="76" t="str">
        <x:v>sample_submission</x:v>
      </x:c>
      <x:c r="G100" s="113" t="n">
        <x:f>ROUND((E100-D100)*1440,1)</x:f>
        <x:v>3.6</x:v>
      </x:c>
      <x:c r="H100" s="113" t="n">
        <x:f>ROUND((D100-C100)*1440,1)</x:f>
        <x:v>11.7</x:v>
      </x:c>
      <x:c r="I100" s="113" t="n">
        <x:f>ROUND((E100-C100)*1440,1)</x:f>
        <x:v>15.3</x:v>
      </x:c>
      <x:c r="J100" s="113" t="n">
        <x:f>IF(A100=A99,ROUND((C100-C99)*1440,1),0)</x:f>
        <x:v>2.3</x:v>
      </x:c>
      <x:c r="K100" s="76" t="str">
        <x:v>FrontDesk-01</x:v>
      </x:c>
      <x:c r="L100" s="113" t="n">
        <x:f>MAX(0,COUNTIFS($A$2:$A$401,A100,$C$2:$C$401,"&lt;"&amp;C100,$E$2:$E$401,"&gt;"&amp;C100)-1)</x:f>
        <x:v>4</x:v>
      </x:c>
      <x:c r="M100" s="113" t="n">
        <x:f>HOUR(C100)</x:f>
        <x:v>9</x:v>
      </x:c>
      <x:c r="N100" s="119" t="n">
        <x:f>ROUND((C100-A100-TIME(8,0,0))*1440,1)</x:f>
        <x:v>87.3</x:v>
      </x:c>
    </x:row>
    <x:row r="101" ht="18" customHeight="1">
      <x:c r="A101" s="101" t="n">
        <x:v>46133</x:v>
      </x:c>
      <x:c r="B101" s="76" t="str">
        <x:v>P0100</x:v>
      </x:c>
      <x:c r="C101" s="107" t="n">
        <x:v>46133.401991307874</x:v>
      </x:c>
      <x:c r="D101" s="107" t="n">
        <x:v>46133.40454091435</x:v>
      </x:c>
      <x:c r="E101" s="107" t="n">
        <x:v>46133.408290914354</x:v>
      </x:c>
      <x:c r="F101" s="76" t="str">
        <x:v>sample_submission</x:v>
      </x:c>
      <x:c r="G101" s="113" t="n">
        <x:f>ROUND((E101-D101)*1440,1)</x:f>
        <x:v>5.4</x:v>
      </x:c>
      <x:c r="H101" s="113" t="n">
        <x:f>ROUND((D101-C101)*1440,1)</x:f>
        <x:v>3.7</x:v>
      </x:c>
      <x:c r="I101" s="113" t="n">
        <x:f>ROUND((E101-C101)*1440,1)</x:f>
        <x:v>9.1</x:v>
      </x:c>
      <x:c r="J101" s="113" t="n">
        <x:f>IF(A101=A100,ROUND((C101-C100)*1440,1),0)</x:f>
        <x:v>11.6</x:v>
      </x:c>
      <x:c r="K101" s="76" t="str">
        <x:v>FrontDesk-01</x:v>
      </x:c>
      <x:c r="L101" s="113" t="n">
        <x:f>MAX(0,COUNTIFS($A$2:$A$401,A101,$C$2:$C$401,"&lt;"&amp;C101,$E$2:$E$401,"&gt;"&amp;C101)-1)</x:f>
        <x:v>1</x:v>
      </x:c>
      <x:c r="M101" s="113" t="n">
        <x:f>HOUR(C101)</x:f>
        <x:v>9</x:v>
      </x:c>
      <x:c r="N101" s="119" t="n">
        <x:f>ROUND((C101-A101-TIME(8,0,0))*1440,1)</x:f>
        <x:v>98.9</x:v>
      </x:c>
    </x:row>
    <x:row r="102" ht="18" customHeight="1">
      <x:c r="A102" s="101" t="n">
        <x:v>46133</x:v>
      </x:c>
      <x:c r="B102" s="76" t="str">
        <x:v>P0101</x:v>
      </x:c>
      <x:c r="C102" s="107" t="n">
        <x:v>46133.404785555555</x:v>
      </x:c>
      <x:c r="D102" s="107" t="n">
        <x:v>46133.408290914354</x:v>
      </x:c>
      <x:c r="E102" s="107" t="n">
        <x:v>46133.41072146991</x:v>
      </x:c>
      <x:c r="F102" s="76" t="str">
        <x:v>billing_payment</x:v>
      </x:c>
      <x:c r="G102" s="113" t="n">
        <x:f>ROUND((E102-D102)*1440,1)</x:f>
        <x:v>3.5</x:v>
      </x:c>
      <x:c r="H102" s="113" t="n">
        <x:f>ROUND((D102-C102)*1440,1)</x:f>
        <x:v>5</x:v>
      </x:c>
      <x:c r="I102" s="113" t="n">
        <x:f>ROUND((E102-C102)*1440,1)</x:f>
        <x:v>8.5</x:v>
      </x:c>
      <x:c r="J102" s="113" t="n">
        <x:f>IF(A102=A101,ROUND((C102-C101)*1440,1),0)</x:f>
        <x:v>4</x:v>
      </x:c>
      <x:c r="K102" s="76" t="str">
        <x:v>FrontDesk-01</x:v>
      </x:c>
      <x:c r="L102" s="113" t="n">
        <x:f>MAX(0,COUNTIFS($A$2:$A$401,A102,$C$2:$C$401,"&lt;"&amp;C102,$E$2:$E$401,"&gt;"&amp;C102)-1)</x:f>
        <x:v>0</x:v>
      </x:c>
      <x:c r="M102" s="113" t="n">
        <x:f>HOUR(C102)</x:f>
        <x:v>9</x:v>
      </x:c>
      <x:c r="N102" s="119" t="n">
        <x:f>ROUND((C102-A102-TIME(8,0,0))*1440,1)</x:f>
        <x:v>102.9</x:v>
      </x:c>
    </x:row>
    <x:row r="103" ht="18" customHeight="1">
      <x:c r="A103" s="101" t="n">
        <x:v>46133</x:v>
      </x:c>
      <x:c r="B103" s="76" t="str">
        <x:v>P0102</x:v>
      </x:c>
      <x:c r="C103" s="107" t="n">
        <x:v>46133.42477387731</x:v>
      </x:c>
      <x:c r="D103" s="107" t="n">
        <x:v>46133.42477387731</x:v>
      </x:c>
      <x:c r="E103" s="107" t="n">
        <x:v>46133.42796832176</x:v>
      </x:c>
      <x:c r="F103" s="76" t="str">
        <x:v>sample_submission</x:v>
      </x:c>
      <x:c r="G103" s="113" t="n">
        <x:f>ROUND((E103-D103)*1440,1)</x:f>
        <x:v>4.6</x:v>
      </x:c>
      <x:c r="H103" s="113" t="n">
        <x:f>ROUND((D103-C103)*1440,1)</x:f>
        <x:v>0</x:v>
      </x:c>
      <x:c r="I103" s="113" t="n">
        <x:f>ROUND((E103-C103)*1440,1)</x:f>
        <x:v>4.6</x:v>
      </x:c>
      <x:c r="J103" s="113" t="n">
        <x:f>IF(A103=A102,ROUND((C103-C102)*1440,1),0)</x:f>
        <x:v>28.8</x:v>
      </x:c>
      <x:c r="K103" s="76" t="str">
        <x:v>FrontDesk-01</x:v>
      </x:c>
      <x:c r="L103" s="113" t="n">
        <x:f>MAX(0,COUNTIFS($A$2:$A$401,A103,$C$2:$C$401,"&lt;"&amp;C103,$E$2:$E$401,"&gt;"&amp;C103)-1)</x:f>
        <x:v>0</x:v>
      </x:c>
      <x:c r="M103" s="113" t="n">
        <x:f>HOUR(C103)</x:f>
        <x:v>10</x:v>
      </x:c>
      <x:c r="N103" s="119" t="n">
        <x:f>ROUND((C103-A103-TIME(8,0,0))*1440,1)</x:f>
        <x:v>131.7</x:v>
      </x:c>
    </x:row>
    <x:row r="104" ht="18" customHeight="1">
      <x:c r="A104" s="101" t="n">
        <x:v>46133</x:v>
      </x:c>
      <x:c r="B104" s="76" t="str">
        <x:v>P0103</x:v>
      </x:c>
      <x:c r="C104" s="107" t="n">
        <x:v>46133.42760390046</x:v>
      </x:c>
      <x:c r="D104" s="107" t="n">
        <x:v>46133.42796832176</x:v>
      </x:c>
      <x:c r="E104" s="107" t="n">
        <x:v>46133.429148877316</x:v>
      </x:c>
      <x:c r="F104" s="76" t="str">
        <x:v>inquiry</x:v>
      </x:c>
      <x:c r="G104" s="113" t="n">
        <x:f>ROUND((E104-D104)*1440,1)</x:f>
        <x:v>1.7</x:v>
      </x:c>
      <x:c r="H104" s="113" t="n">
        <x:f>ROUND((D104-C104)*1440,1)</x:f>
        <x:v>0.5</x:v>
      </x:c>
      <x:c r="I104" s="113" t="n">
        <x:f>ROUND((E104-C104)*1440,1)</x:f>
        <x:v>2.2</x:v>
      </x:c>
      <x:c r="J104" s="113" t="n">
        <x:f>IF(A104=A103,ROUND((C104-C103)*1440,1),0)</x:f>
        <x:v>4.1</x:v>
      </x:c>
      <x:c r="K104" s="76" t="str">
        <x:v>FrontDesk-01</x:v>
      </x:c>
      <x:c r="L104" s="113" t="n">
        <x:f>MAX(0,COUNTIFS($A$2:$A$401,A104,$C$2:$C$401,"&lt;"&amp;C104,$E$2:$E$401,"&gt;"&amp;C104)-1)</x:f>
        <x:v>0</x:v>
      </x:c>
      <x:c r="M104" s="113" t="n">
        <x:f>HOUR(C104)</x:f>
        <x:v>10</x:v>
      </x:c>
      <x:c r="N104" s="119" t="n">
        <x:f>ROUND((C104-A104-TIME(8,0,0))*1440,1)</x:f>
        <x:v>135.7</x:v>
      </x:c>
    </x:row>
    <x:row r="105" ht="18" customHeight="1">
      <x:c r="A105" s="101" t="n">
        <x:v>46133</x:v>
      </x:c>
      <x:c r="B105" s="76" t="str">
        <x:v>P0104</x:v>
      </x:c>
      <x:c r="C105" s="107" t="n">
        <x:v>46133.427960925925</x:v>
      </x:c>
      <x:c r="D105" s="107" t="n">
        <x:v>46133.429148877316</x:v>
      </x:c>
      <x:c r="E105" s="107" t="n">
        <x:v>46133.430884988426</x:v>
      </x:c>
      <x:c r="F105" s="76" t="str">
        <x:v>appointment_booking</x:v>
      </x:c>
      <x:c r="G105" s="113" t="n">
        <x:f>ROUND((E105-D105)*1440,1)</x:f>
        <x:v>2.5</x:v>
      </x:c>
      <x:c r="H105" s="113" t="n">
        <x:f>ROUND((D105-C105)*1440,1)</x:f>
        <x:v>1.7</x:v>
      </x:c>
      <x:c r="I105" s="113" t="n">
        <x:f>ROUND((E105-C105)*1440,1)</x:f>
        <x:v>4.2</x:v>
      </x:c>
      <x:c r="J105" s="113" t="n">
        <x:f>IF(A105=A104,ROUND((C105-C104)*1440,1),0)</x:f>
        <x:v>0.5</x:v>
      </x:c>
      <x:c r="K105" s="76" t="str">
        <x:v>FrontDesk-01</x:v>
      </x:c>
      <x:c r="L105" s="113" t="n">
        <x:f>MAX(0,COUNTIFS($A$2:$A$401,A105,$C$2:$C$401,"&lt;"&amp;C105,$E$2:$E$401,"&gt;"&amp;C105)-1)</x:f>
        <x:v>1</x:v>
      </x:c>
      <x:c r="M105" s="113" t="n">
        <x:f>HOUR(C105)</x:f>
        <x:v>10</x:v>
      </x:c>
      <x:c r="N105" s="119" t="n">
        <x:f>ROUND((C105-A105-TIME(8,0,0))*1440,1)</x:f>
        <x:v>136.3</x:v>
      </x:c>
    </x:row>
    <x:row r="106" ht="18" customHeight="1">
      <x:c r="A106" s="101" t="n">
        <x:v>46133</x:v>
      </x:c>
      <x:c r="B106" s="76" t="str">
        <x:v>P0105</x:v>
      </x:c>
      <x:c r="C106" s="107" t="n">
        <x:v>46133.42879608797</x:v>
      </x:c>
      <x:c r="D106" s="107" t="n">
        <x:v>46133.430884988426</x:v>
      </x:c>
      <x:c r="E106" s="107" t="n">
        <x:v>46133.43157943287</x:v>
      </x:c>
      <x:c r="F106" s="76" t="str">
        <x:v>report_collection</x:v>
      </x:c>
      <x:c r="G106" s="113" t="n">
        <x:f>ROUND((E106-D106)*1440,1)</x:f>
        <x:v>1</x:v>
      </x:c>
      <x:c r="H106" s="113" t="n">
        <x:f>ROUND((D106-C106)*1440,1)</x:f>
        <x:v>3</x:v>
      </x:c>
      <x:c r="I106" s="113" t="n">
        <x:f>ROUND((E106-C106)*1440,1)</x:f>
        <x:v>4</x:v>
      </x:c>
      <x:c r="J106" s="113" t="n">
        <x:f>IF(A106=A105,ROUND((C106-C105)*1440,1),0)</x:f>
        <x:v>1.2</x:v>
      </x:c>
      <x:c r="K106" s="76" t="str">
        <x:v>FrontDesk-01</x:v>
      </x:c>
      <x:c r="L106" s="113" t="n">
        <x:f>MAX(0,COUNTIFS($A$2:$A$401,A106,$C$2:$C$401,"&lt;"&amp;C106,$E$2:$E$401,"&gt;"&amp;C106)-1)</x:f>
        <x:v>1</x:v>
      </x:c>
      <x:c r="M106" s="113" t="n">
        <x:f>HOUR(C106)</x:f>
        <x:v>10</x:v>
      </x:c>
      <x:c r="N106" s="119" t="n">
        <x:f>ROUND((C106-A106-TIME(8,0,0))*1440,1)</x:f>
        <x:v>137.5</x:v>
      </x:c>
    </x:row>
    <x:row r="107" ht="18" customHeight="1">
      <x:c r="A107" s="101" t="n">
        <x:v>46133</x:v>
      </x:c>
      <x:c r="B107" s="76" t="str">
        <x:v>P0106</x:v>
      </x:c>
      <x:c r="C107" s="107" t="n">
        <x:v>46133.429506064815</x:v>
      </x:c>
      <x:c r="D107" s="107" t="n">
        <x:v>46133.43157943287</x:v>
      </x:c>
      <x:c r="E107" s="107" t="n">
        <x:v>46133.43373221065</x:v>
      </x:c>
      <x:c r="F107" s="76" t="str">
        <x:v>billing_payment</x:v>
      </x:c>
      <x:c r="G107" s="113" t="n">
        <x:f>ROUND((E107-D107)*1440,1)</x:f>
        <x:v>3.1</x:v>
      </x:c>
      <x:c r="H107" s="113" t="n">
        <x:f>ROUND((D107-C107)*1440,1)</x:f>
        <x:v>3</x:v>
      </x:c>
      <x:c r="I107" s="113" t="n">
        <x:f>ROUND((E107-C107)*1440,1)</x:f>
        <x:v>6.1</x:v>
      </x:c>
      <x:c r="J107" s="113" t="n">
        <x:f>IF(A107=A106,ROUND((C107-C106)*1440,1),0)</x:f>
        <x:v>1</x:v>
      </x:c>
      <x:c r="K107" s="76" t="str">
        <x:v>FrontDesk-01</x:v>
      </x:c>
      <x:c r="L107" s="113" t="n">
        <x:f>MAX(0,COUNTIFS($A$2:$A$401,A107,$C$2:$C$401,"&lt;"&amp;C107,$E$2:$E$401,"&gt;"&amp;C107)-1)</x:f>
        <x:v>1</x:v>
      </x:c>
      <x:c r="M107" s="113" t="n">
        <x:f>HOUR(C107)</x:f>
        <x:v>10</x:v>
      </x:c>
      <x:c r="N107" s="119" t="n">
        <x:f>ROUND((C107-A107-TIME(8,0,0))*1440,1)</x:f>
        <x:v>138.5</x:v>
      </x:c>
    </x:row>
    <x:row r="108" ht="18" customHeight="1">
      <x:c r="A108" s="101" t="n">
        <x:v>46133</x:v>
      </x:c>
      <x:c r="B108" s="76" t="str">
        <x:v>P0107</x:v>
      </x:c>
      <x:c r="C108" s="107" t="n">
        <x:v>46133.44443560185</x:v>
      </x:c>
      <x:c r="D108" s="107" t="n">
        <x:v>46133.44443560185</x:v>
      </x:c>
      <x:c r="E108" s="107" t="n">
        <x:v>46133.44853282408</x:v>
      </x:c>
      <x:c r="F108" s="76" t="str">
        <x:v>sample_submission</x:v>
      </x:c>
      <x:c r="G108" s="113" t="n">
        <x:f>ROUND((E108-D108)*1440,1)</x:f>
        <x:v>5.9</x:v>
      </x:c>
      <x:c r="H108" s="113" t="n">
        <x:f>ROUND((D108-C108)*1440,1)</x:f>
        <x:v>0</x:v>
      </x:c>
      <x:c r="I108" s="113" t="n">
        <x:f>ROUND((E108-C108)*1440,1)</x:f>
        <x:v>5.9</x:v>
      </x:c>
      <x:c r="J108" s="113" t="n">
        <x:f>IF(A108=A107,ROUND((C108-C107)*1440,1),0)</x:f>
        <x:v>21.5</x:v>
      </x:c>
      <x:c r="K108" s="76" t="str">
        <x:v>FrontDesk-01</x:v>
      </x:c>
      <x:c r="L108" s="113" t="n">
        <x:f>MAX(0,COUNTIFS($A$2:$A$401,A108,$C$2:$C$401,"&lt;"&amp;C108,$E$2:$E$401,"&gt;"&amp;C108)-1)</x:f>
        <x:v>0</x:v>
      </x:c>
      <x:c r="M108" s="113" t="n">
        <x:f>HOUR(C108)</x:f>
        <x:v>10</x:v>
      </x:c>
      <x:c r="N108" s="119" t="n">
        <x:f>ROUND((C108-A108-TIME(8,0,0))*1440,1)</x:f>
        <x:v>160</x:v>
      </x:c>
    </x:row>
    <x:row r="109" ht="18" customHeight="1">
      <x:c r="A109" s="101" t="n">
        <x:v>46133</x:v>
      </x:c>
      <x:c r="B109" s="76" t="str">
        <x:v>P0108</x:v>
      </x:c>
      <x:c r="C109" s="107" t="n">
        <x:v>46133.44802650463</x:v>
      </x:c>
      <x:c r="D109" s="107" t="n">
        <x:v>46133.44853282408</x:v>
      </x:c>
      <x:c r="E109" s="107" t="n">
        <x:v>46133.449643935186</x:v>
      </x:c>
      <x:c r="F109" s="76" t="str">
        <x:v>report_collection</x:v>
      </x:c>
      <x:c r="G109" s="113" t="n">
        <x:f>ROUND((E109-D109)*1440,1)</x:f>
        <x:v>1.6</x:v>
      </x:c>
      <x:c r="H109" s="113" t="n">
        <x:f>ROUND((D109-C109)*1440,1)</x:f>
        <x:v>0.7</x:v>
      </x:c>
      <x:c r="I109" s="113" t="n">
        <x:f>ROUND((E109-C109)*1440,1)</x:f>
        <x:v>2.3</x:v>
      </x:c>
      <x:c r="J109" s="113" t="n">
        <x:f>IF(A109=A108,ROUND((C109-C108)*1440,1),0)</x:f>
        <x:v>5.2</x:v>
      </x:c>
      <x:c r="K109" s="76" t="str">
        <x:v>FrontDesk-01</x:v>
      </x:c>
      <x:c r="L109" s="113" t="n">
        <x:f>MAX(0,COUNTIFS($A$2:$A$401,A109,$C$2:$C$401,"&lt;"&amp;C109,$E$2:$E$401,"&gt;"&amp;C109)-1)</x:f>
        <x:v>0</x:v>
      </x:c>
      <x:c r="M109" s="113" t="n">
        <x:f>HOUR(C109)</x:f>
        <x:v>10</x:v>
      </x:c>
      <x:c r="N109" s="119" t="n">
        <x:f>ROUND((C109-A109-TIME(8,0,0))*1440,1)</x:f>
        <x:v>165.2</x:v>
      </x:c>
    </x:row>
    <x:row r="110" ht="18" customHeight="1">
      <x:c r="A110" s="101" t="n">
        <x:v>46133</x:v>
      </x:c>
      <x:c r="B110" s="76" t="str">
        <x:v>P0109</x:v>
      </x:c>
      <x:c r="C110" s="107" t="n">
        <x:v>46133.44810862269</x:v>
      </x:c>
      <x:c r="D110" s="107" t="n">
        <x:v>46133.449643935186</x:v>
      </x:c>
      <x:c r="E110" s="107" t="n">
        <x:v>46133.45207449074</x:v>
      </x:c>
      <x:c r="F110" s="76" t="str">
        <x:v>registration</x:v>
      </x:c>
      <x:c r="G110" s="113" t="n">
        <x:f>ROUND((E110-D110)*1440,1)</x:f>
        <x:v>3.5</x:v>
      </x:c>
      <x:c r="H110" s="113" t="n">
        <x:f>ROUND((D110-C110)*1440,1)</x:f>
        <x:v>2.2</x:v>
      </x:c>
      <x:c r="I110" s="113" t="n">
        <x:f>ROUND((E110-C110)*1440,1)</x:f>
        <x:v>5.7</x:v>
      </x:c>
      <x:c r="J110" s="113" t="n">
        <x:f>IF(A110=A109,ROUND((C110-C109)*1440,1),0)</x:f>
        <x:v>0.1</x:v>
      </x:c>
      <x:c r="K110" s="76" t="str">
        <x:v>FrontDesk-01</x:v>
      </x:c>
      <x:c r="L110" s="113" t="n">
        <x:f>MAX(0,COUNTIFS($A$2:$A$401,A110,$C$2:$C$401,"&lt;"&amp;C110,$E$2:$E$401,"&gt;"&amp;C110)-1)</x:f>
        <x:v>1</x:v>
      </x:c>
      <x:c r="M110" s="113" t="n">
        <x:f>HOUR(C110)</x:f>
        <x:v>10</x:v>
      </x:c>
      <x:c r="N110" s="119" t="n">
        <x:f>ROUND((C110-A110-TIME(8,0,0))*1440,1)</x:f>
        <x:v>165.3</x:v>
      </x:c>
    </x:row>
    <x:row r="111" ht="18" customHeight="1">
      <x:c r="A111" s="101" t="n">
        <x:v>46133</x:v>
      </x:c>
      <x:c r="B111" s="76" t="str">
        <x:v>P0110</x:v>
      </x:c>
      <x:c r="C111" s="107" t="n">
        <x:v>46133.44921275463</x:v>
      </x:c>
      <x:c r="D111" s="107" t="n">
        <x:v>46133.45207449074</x:v>
      </x:c>
      <x:c r="E111" s="107" t="n">
        <x:v>46133.45485226852</x:v>
      </x:c>
      <x:c r="F111" s="76" t="str">
        <x:v>registration</x:v>
      </x:c>
      <x:c r="G111" s="113" t="n">
        <x:f>ROUND((E111-D111)*1440,1)</x:f>
        <x:v>4</x:v>
      </x:c>
      <x:c r="H111" s="113" t="n">
        <x:f>ROUND((D111-C111)*1440,1)</x:f>
        <x:v>4.1</x:v>
      </x:c>
      <x:c r="I111" s="113" t="n">
        <x:f>ROUND((E111-C111)*1440,1)</x:f>
        <x:v>8.1</x:v>
      </x:c>
      <x:c r="J111" s="113" t="n">
        <x:f>IF(A111=A110,ROUND((C111-C110)*1440,1),0)</x:f>
        <x:v>1.6</x:v>
      </x:c>
      <x:c r="K111" s="76" t="str">
        <x:v>FrontDesk-01</x:v>
      </x:c>
      <x:c r="L111" s="113" t="n">
        <x:f>MAX(0,COUNTIFS($A$2:$A$401,A111,$C$2:$C$401,"&lt;"&amp;C111,$E$2:$E$401,"&gt;"&amp;C111)-1)</x:f>
        <x:v>1</x:v>
      </x:c>
      <x:c r="M111" s="113" t="n">
        <x:f>HOUR(C111)</x:f>
        <x:v>10</x:v>
      </x:c>
      <x:c r="N111" s="119" t="n">
        <x:f>ROUND((C111-A111-TIME(8,0,0))*1440,1)</x:f>
        <x:v>166.9</x:v>
      </x:c>
    </x:row>
    <x:row r="112" ht="18" customHeight="1">
      <x:c r="A112" s="101" t="n">
        <x:v>46133</x:v>
      </x:c>
      <x:c r="B112" s="76" t="str">
        <x:v>P0111</x:v>
      </x:c>
      <x:c r="C112" s="107" t="n">
        <x:v>46133.45383762731</x:v>
      </x:c>
      <x:c r="D112" s="107" t="n">
        <x:v>46133.45485226852</x:v>
      </x:c>
      <x:c r="E112" s="107" t="n">
        <x:v>46133.45533837963</x:v>
      </x:c>
      <x:c r="F112" s="76" t="str">
        <x:v>inquiry</x:v>
      </x:c>
      <x:c r="G112" s="113" t="n">
        <x:f>ROUND((E112-D112)*1440,1)</x:f>
        <x:v>0.7</x:v>
      </x:c>
      <x:c r="H112" s="113" t="n">
        <x:f>ROUND((D112-C112)*1440,1)</x:f>
        <x:v>1.5</x:v>
      </x:c>
      <x:c r="I112" s="113" t="n">
        <x:f>ROUND((E112-C112)*1440,1)</x:f>
        <x:v>2.2</x:v>
      </x:c>
      <x:c r="J112" s="113" t="n">
        <x:f>IF(A112=A111,ROUND((C112-C111)*1440,1),0)</x:f>
        <x:v>6.7</x:v>
      </x:c>
      <x:c r="K112" s="76" t="str">
        <x:v>FrontDesk-01</x:v>
      </x:c>
      <x:c r="L112" s="113" t="n">
        <x:f>MAX(0,COUNTIFS($A$2:$A$401,A112,$C$2:$C$401,"&lt;"&amp;C112,$E$2:$E$401,"&gt;"&amp;C112)-1)</x:f>
        <x:v>0</x:v>
      </x:c>
      <x:c r="M112" s="113" t="n">
        <x:f>HOUR(C112)</x:f>
        <x:v>10</x:v>
      </x:c>
      <x:c r="N112" s="119" t="n">
        <x:f>ROUND((C112-A112-TIME(8,0,0))*1440,1)</x:f>
        <x:v>173.5</x:v>
      </x:c>
    </x:row>
    <x:row r="113" ht="18" customHeight="1">
      <x:c r="A113" s="101" t="n">
        <x:v>46133</x:v>
      </x:c>
      <x:c r="B113" s="76" t="str">
        <x:v>P0112</x:v>
      </x:c>
      <x:c r="C113" s="107" t="n">
        <x:v>46133.45761435185</x:v>
      </x:c>
      <x:c r="D113" s="107" t="n">
        <x:v>46133.45761435185</x:v>
      </x:c>
      <x:c r="E113" s="107" t="n">
        <x:v>46133.4589337963</x:v>
      </x:c>
      <x:c r="F113" s="76" t="str">
        <x:v>report_collection</x:v>
      </x:c>
      <x:c r="G113" s="113" t="n">
        <x:f>ROUND((E113-D113)*1440,1)</x:f>
        <x:v>1.9</x:v>
      </x:c>
      <x:c r="H113" s="113" t="n">
        <x:f>ROUND((D113-C113)*1440,1)</x:f>
        <x:v>0</x:v>
      </x:c>
      <x:c r="I113" s="113" t="n">
        <x:f>ROUND((E113-C113)*1440,1)</x:f>
        <x:v>1.9</x:v>
      </x:c>
      <x:c r="J113" s="113" t="n">
        <x:f>IF(A113=A112,ROUND((C113-C112)*1440,1),0)</x:f>
        <x:v>5.4</x:v>
      </x:c>
      <x:c r="K113" s="76" t="str">
        <x:v>FrontDesk-01</x:v>
      </x:c>
      <x:c r="L113" s="113" t="n">
        <x:f>MAX(0,COUNTIFS($A$2:$A$401,A113,$C$2:$C$401,"&lt;"&amp;C113,$E$2:$E$401,"&gt;"&amp;C113)-1)</x:f>
        <x:v>0</x:v>
      </x:c>
      <x:c r="M113" s="113" t="n">
        <x:f>HOUR(C113)</x:f>
        <x:v>10</x:v>
      </x:c>
      <x:c r="N113" s="119" t="n">
        <x:f>ROUND((C113-A113-TIME(8,0,0))*1440,1)</x:f>
        <x:v>179</x:v>
      </x:c>
    </x:row>
    <x:row r="114" ht="18" customHeight="1">
      <x:c r="A114" s="101" t="n">
        <x:v>46133</x:v>
      </x:c>
      <x:c r="B114" s="76" t="str">
        <x:v>P0113</x:v>
      </x:c>
      <x:c r="C114" s="107" t="n">
        <x:v>46133.472607083335</x:v>
      </x:c>
      <x:c r="D114" s="107" t="n">
        <x:v>46133.472607083335</x:v>
      </x:c>
      <x:c r="E114" s="107" t="n">
        <x:v>46133.47489875</x:v>
      </x:c>
      <x:c r="F114" s="76" t="str">
        <x:v>registration</x:v>
      </x:c>
      <x:c r="G114" s="113" t="n">
        <x:f>ROUND((E114-D114)*1440,1)</x:f>
        <x:v>3.3</x:v>
      </x:c>
      <x:c r="H114" s="113" t="n">
        <x:f>ROUND((D114-C114)*1440,1)</x:f>
        <x:v>0</x:v>
      </x:c>
      <x:c r="I114" s="113" t="n">
        <x:f>ROUND((E114-C114)*1440,1)</x:f>
        <x:v>3.3</x:v>
      </x:c>
      <x:c r="J114" s="113" t="n">
        <x:f>IF(A114=A113,ROUND((C114-C113)*1440,1),0)</x:f>
        <x:v>21.6</x:v>
      </x:c>
      <x:c r="K114" s="76" t="str">
        <x:v>FrontDesk-01</x:v>
      </x:c>
      <x:c r="L114" s="113" t="n">
        <x:f>MAX(0,COUNTIFS($A$2:$A$401,A114,$C$2:$C$401,"&lt;"&amp;C114,$E$2:$E$401,"&gt;"&amp;C114)-1)</x:f>
        <x:v>0</x:v>
      </x:c>
      <x:c r="M114" s="113" t="n">
        <x:f>HOUR(C114)</x:f>
        <x:v>11</x:v>
      </x:c>
      <x:c r="N114" s="119" t="n">
        <x:f>ROUND((C114-A114-TIME(8,0,0))*1440,1)</x:f>
        <x:v>200.6</x:v>
      </x:c>
    </x:row>
    <x:row r="115" ht="18" customHeight="1">
      <x:c r="A115" s="101" t="n">
        <x:v>46133</x:v>
      </x:c>
      <x:c r="B115" s="76" t="str">
        <x:v>P0114</x:v>
      </x:c>
      <x:c r="C115" s="107" t="n">
        <x:v>46133.48032322917</x:v>
      </x:c>
      <x:c r="D115" s="107" t="n">
        <x:v>46133.48032322917</x:v>
      </x:c>
      <x:c r="E115" s="107" t="n">
        <x:v>46133.482337118054</x:v>
      </x:c>
      <x:c r="F115" s="76" t="str">
        <x:v>appointment_booking</x:v>
      </x:c>
      <x:c r="G115" s="113" t="n">
        <x:f>ROUND((E115-D115)*1440,1)</x:f>
        <x:v>2.9</x:v>
      </x:c>
      <x:c r="H115" s="113" t="n">
        <x:f>ROUND((D115-C115)*1440,1)</x:f>
        <x:v>0</x:v>
      </x:c>
      <x:c r="I115" s="113" t="n">
        <x:f>ROUND((E115-C115)*1440,1)</x:f>
        <x:v>2.9</x:v>
      </x:c>
      <x:c r="J115" s="113" t="n">
        <x:f>IF(A115=A114,ROUND((C115-C114)*1440,1),0)</x:f>
        <x:v>11.1</x:v>
      </x:c>
      <x:c r="K115" s="76" t="str">
        <x:v>FrontDesk-01</x:v>
      </x:c>
      <x:c r="L115" s="113" t="n">
        <x:f>MAX(0,COUNTIFS($A$2:$A$401,A115,$C$2:$C$401,"&lt;"&amp;C115,$E$2:$E$401,"&gt;"&amp;C115)-1)</x:f>
        <x:v>0</x:v>
      </x:c>
      <x:c r="M115" s="113" t="n">
        <x:f>HOUR(C115)</x:f>
        <x:v>11</x:v>
      </x:c>
      <x:c r="N115" s="119" t="n">
        <x:f>ROUND((C115-A115-TIME(8,0,0))*1440,1)</x:f>
        <x:v>211.7</x:v>
      </x:c>
    </x:row>
    <x:row r="116" ht="18" customHeight="1">
      <x:c r="A116" s="101" t="n">
        <x:v>46133</x:v>
      </x:c>
      <x:c r="B116" s="76" t="str">
        <x:v>P0115</x:v>
      </x:c>
      <x:c r="C116" s="107" t="n">
        <x:v>46133.482630405095</x:v>
      </x:c>
      <x:c r="D116" s="107" t="n">
        <x:v>46133.482630405095</x:v>
      </x:c>
      <x:c r="E116" s="107" t="n">
        <x:v>46133.486102627314</x:v>
      </x:c>
      <x:c r="F116" s="76" t="str">
        <x:v>appointment_booking</x:v>
      </x:c>
      <x:c r="G116" s="113" t="n">
        <x:f>ROUND((E116-D116)*1440,1)</x:f>
        <x:v>5</x:v>
      </x:c>
      <x:c r="H116" s="113" t="n">
        <x:f>ROUND((D116-C116)*1440,1)</x:f>
        <x:v>0</x:v>
      </x:c>
      <x:c r="I116" s="113" t="n">
        <x:f>ROUND((E116-C116)*1440,1)</x:f>
        <x:v>5</x:v>
      </x:c>
      <x:c r="J116" s="113" t="n">
        <x:f>IF(A116=A115,ROUND((C116-C115)*1440,1),0)</x:f>
        <x:v>3.3</x:v>
      </x:c>
      <x:c r="K116" s="76" t="str">
        <x:v>FrontDesk-01</x:v>
      </x:c>
      <x:c r="L116" s="113" t="n">
        <x:f>MAX(0,COUNTIFS($A$2:$A$401,A116,$C$2:$C$401,"&lt;"&amp;C116,$E$2:$E$401,"&gt;"&amp;C116)-1)</x:f>
        <x:v>0</x:v>
      </x:c>
      <x:c r="M116" s="113" t="n">
        <x:f>HOUR(C116)</x:f>
        <x:v>11</x:v>
      </x:c>
      <x:c r="N116" s="119" t="n">
        <x:f>ROUND((C116-A116-TIME(8,0,0))*1440,1)</x:f>
        <x:v>215</x:v>
      </x:c>
    </x:row>
    <x:row r="117" ht="18" customHeight="1">
      <x:c r="A117" s="101" t="n">
        <x:v>46133</x:v>
      </x:c>
      <x:c r="B117" s="76" t="str">
        <x:v>P0116</x:v>
      </x:c>
      <x:c r="C117" s="107" t="n">
        <x:v>46133.48426273148</x:v>
      </x:c>
      <x:c r="D117" s="107" t="n">
        <x:v>46133.486102627314</x:v>
      </x:c>
      <x:c r="E117" s="107" t="n">
        <x:v>46133.48728318287</x:v>
      </x:c>
      <x:c r="F117" s="76" t="str">
        <x:v>inquiry</x:v>
      </x:c>
      <x:c r="G117" s="113" t="n">
        <x:f>ROUND((E117-D117)*1440,1)</x:f>
        <x:v>1.7</x:v>
      </x:c>
      <x:c r="H117" s="113" t="n">
        <x:f>ROUND((D117-C117)*1440,1)</x:f>
        <x:v>2.6</x:v>
      </x:c>
      <x:c r="I117" s="113" t="n">
        <x:f>ROUND((E117-C117)*1440,1)</x:f>
        <x:v>4.3</x:v>
      </x:c>
      <x:c r="J117" s="113" t="n">
        <x:f>IF(A117=A116,ROUND((C117-C116)*1440,1),0)</x:f>
        <x:v>2.4</x:v>
      </x:c>
      <x:c r="K117" s="76" t="str">
        <x:v>FrontDesk-01</x:v>
      </x:c>
      <x:c r="L117" s="113" t="n">
        <x:f>MAX(0,COUNTIFS($A$2:$A$401,A117,$C$2:$C$401,"&lt;"&amp;C117,$E$2:$E$401,"&gt;"&amp;C117)-1)</x:f>
        <x:v>0</x:v>
      </x:c>
      <x:c r="M117" s="113" t="n">
        <x:f>HOUR(C117)</x:f>
        <x:v>11</x:v>
      </x:c>
      <x:c r="N117" s="119" t="n">
        <x:f>ROUND((C117-A117-TIME(8,0,0))*1440,1)</x:f>
        <x:v>217.3</x:v>
      </x:c>
    </x:row>
    <x:row r="118" ht="18" customHeight="1">
      <x:c r="A118" s="101" t="n">
        <x:v>46133</x:v>
      </x:c>
      <x:c r="B118" s="76" t="str">
        <x:v>P0117</x:v>
      </x:c>
      <x:c r="C118" s="107" t="n">
        <x:v>46133.49051163194</x:v>
      </x:c>
      <x:c r="D118" s="107" t="n">
        <x:v>46133.49051163194</x:v>
      </x:c>
      <x:c r="E118" s="107" t="n">
        <x:v>46133.49335885417</x:v>
      </x:c>
      <x:c r="F118" s="76" t="str">
        <x:v>billing_payment</x:v>
      </x:c>
      <x:c r="G118" s="113" t="n">
        <x:f>ROUND((E118-D118)*1440,1)</x:f>
        <x:v>4.1</x:v>
      </x:c>
      <x:c r="H118" s="113" t="n">
        <x:f>ROUND((D118-C118)*1440,1)</x:f>
        <x:v>0</x:v>
      </x:c>
      <x:c r="I118" s="113" t="n">
        <x:f>ROUND((E118-C118)*1440,1)</x:f>
        <x:v>4.1</x:v>
      </x:c>
      <x:c r="J118" s="113" t="n">
        <x:f>IF(A118=A117,ROUND((C118-C117)*1440,1),0)</x:f>
        <x:v>9</x:v>
      </x:c>
      <x:c r="K118" s="76" t="str">
        <x:v>FrontDesk-01</x:v>
      </x:c>
      <x:c r="L118" s="113" t="n">
        <x:f>MAX(0,COUNTIFS($A$2:$A$401,A118,$C$2:$C$401,"&lt;"&amp;C118,$E$2:$E$401,"&gt;"&amp;C118)-1)</x:f>
        <x:v>0</x:v>
      </x:c>
      <x:c r="M118" s="113" t="n">
        <x:f>HOUR(C118)</x:f>
        <x:v>11</x:v>
      </x:c>
      <x:c r="N118" s="119" t="n">
        <x:f>ROUND((C118-A118-TIME(8,0,0))*1440,1)</x:f>
        <x:v>226.3</x:v>
      </x:c>
    </x:row>
    <x:row r="119" ht="18" customHeight="1">
      <x:c r="A119" s="101" t="n">
        <x:v>46133</x:v>
      </x:c>
      <x:c r="B119" s="76" t="str">
        <x:v>P0118</x:v>
      </x:c>
      <x:c r="C119" s="107" t="n">
        <x:v>46133.50733107639</x:v>
      </x:c>
      <x:c r="D119" s="107" t="n">
        <x:v>46133.50733107639</x:v>
      </x:c>
      <x:c r="E119" s="107" t="n">
        <x:v>46133.509414409724</x:v>
      </x:c>
      <x:c r="F119" s="76" t="str">
        <x:v>appointment_booking</x:v>
      </x:c>
      <x:c r="G119" s="113" t="n">
        <x:f>ROUND((E119-D119)*1440,1)</x:f>
        <x:v>3</x:v>
      </x:c>
      <x:c r="H119" s="113" t="n">
        <x:f>ROUND((D119-C119)*1440,1)</x:f>
        <x:v>0</x:v>
      </x:c>
      <x:c r="I119" s="113" t="n">
        <x:f>ROUND((E119-C119)*1440,1)</x:f>
        <x:v>3</x:v>
      </x:c>
      <x:c r="J119" s="113" t="n">
        <x:f>IF(A119=A118,ROUND((C119-C118)*1440,1),0)</x:f>
        <x:v>24.2</x:v>
      </x:c>
      <x:c r="K119" s="76" t="str">
        <x:v>FrontDesk-01</x:v>
      </x:c>
      <x:c r="L119" s="113" t="n">
        <x:f>MAX(0,COUNTIFS($A$2:$A$401,A119,$C$2:$C$401,"&lt;"&amp;C119,$E$2:$E$401,"&gt;"&amp;C119)-1)</x:f>
        <x:v>0</x:v>
      </x:c>
      <x:c r="M119" s="113" t="n">
        <x:f>HOUR(C119)</x:f>
        <x:v>12</x:v>
      </x:c>
      <x:c r="N119" s="119" t="n">
        <x:f>ROUND((C119-A119-TIME(8,0,0))*1440,1)</x:f>
        <x:v>250.6</x:v>
      </x:c>
    </x:row>
    <x:row r="120" ht="18" customHeight="1">
      <x:c r="A120" s="101" t="n">
        <x:v>46133</x:v>
      </x:c>
      <x:c r="B120" s="76" t="str">
        <x:v>P0119</x:v>
      </x:c>
      <x:c r="C120" s="107" t="n">
        <x:v>46133.51577857639</x:v>
      </x:c>
      <x:c r="D120" s="107" t="n">
        <x:v>46133.51577857639</x:v>
      </x:c>
      <x:c r="E120" s="107" t="n">
        <x:v>46133.51702857639</x:v>
      </x:c>
      <x:c r="F120" s="76" t="str">
        <x:v>report_collection</x:v>
      </x:c>
      <x:c r="G120" s="113" t="n">
        <x:f>ROUND((E120-D120)*1440,1)</x:f>
        <x:v>1.8</x:v>
      </x:c>
      <x:c r="H120" s="113" t="n">
        <x:f>ROUND((D120-C120)*1440,1)</x:f>
        <x:v>0</x:v>
      </x:c>
      <x:c r="I120" s="113" t="n">
        <x:f>ROUND((E120-C120)*1440,1)</x:f>
        <x:v>1.8</x:v>
      </x:c>
      <x:c r="J120" s="113" t="n">
        <x:f>IF(A120=A119,ROUND((C120-C119)*1440,1),0)</x:f>
        <x:v>12.2</x:v>
      </x:c>
      <x:c r="K120" s="76" t="str">
        <x:v>FrontDesk-01</x:v>
      </x:c>
      <x:c r="L120" s="113" t="n">
        <x:f>MAX(0,COUNTIFS($A$2:$A$401,A120,$C$2:$C$401,"&lt;"&amp;C120,$E$2:$E$401,"&gt;"&amp;C120)-1)</x:f>
        <x:v>0</x:v>
      </x:c>
      <x:c r="M120" s="113" t="n">
        <x:f>HOUR(C120)</x:f>
        <x:v>12</x:v>
      </x:c>
      <x:c r="N120" s="119" t="n">
        <x:f>ROUND((C120-A120-TIME(8,0,0))*1440,1)</x:f>
        <x:v>262.7</x:v>
      </x:c>
    </x:row>
    <x:row r="121" ht="18" customHeight="1">
      <x:c r="A121" s="101" t="n">
        <x:v>46133</x:v>
      </x:c>
      <x:c r="B121" s="76" t="str">
        <x:v>P0120</x:v>
      </x:c>
      <x:c r="C121" s="107" t="n">
        <x:v>46133.525152546295</x:v>
      </x:c>
      <x:c r="D121" s="107" t="n">
        <x:v>46133.525152546295</x:v>
      </x:c>
      <x:c r="E121" s="107" t="n">
        <x:v>46133.52779143518</x:v>
      </x:c>
      <x:c r="F121" s="76" t="str">
        <x:v>sample_submission</x:v>
      </x:c>
      <x:c r="G121" s="113" t="n">
        <x:f>ROUND((E121-D121)*1440,1)</x:f>
        <x:v>3.8</x:v>
      </x:c>
      <x:c r="H121" s="113" t="n">
        <x:f>ROUND((D121-C121)*1440,1)</x:f>
        <x:v>0</x:v>
      </x:c>
      <x:c r="I121" s="113" t="n">
        <x:f>ROUND((E121-C121)*1440,1)</x:f>
        <x:v>3.8</x:v>
      </x:c>
      <x:c r="J121" s="113" t="n">
        <x:f>IF(A121=A120,ROUND((C121-C120)*1440,1),0)</x:f>
        <x:v>13.5</x:v>
      </x:c>
      <x:c r="K121" s="76" t="str">
        <x:v>FrontDesk-01</x:v>
      </x:c>
      <x:c r="L121" s="113" t="n">
        <x:f>MAX(0,COUNTIFS($A$2:$A$401,A121,$C$2:$C$401,"&lt;"&amp;C121,$E$2:$E$401,"&gt;"&amp;C121)-1)</x:f>
        <x:v>0</x:v>
      </x:c>
      <x:c r="M121" s="113" t="n">
        <x:f>HOUR(C121)</x:f>
        <x:v>12</x:v>
      </x:c>
      <x:c r="N121" s="119" t="n">
        <x:f>ROUND((C121-A121-TIME(8,0,0))*1440,1)</x:f>
        <x:v>276.2</x:v>
      </x:c>
    </x:row>
    <x:row r="122" ht="18" customHeight="1">
      <x:c r="A122" s="101" t="n">
        <x:v>46133</x:v>
      </x:c>
      <x:c r="B122" s="76" t="str">
        <x:v>P0121</x:v>
      </x:c>
      <x:c r="C122" s="107" t="n">
        <x:v>46133.53875574074</x:v>
      </x:c>
      <x:c r="D122" s="107" t="n">
        <x:v>46133.53875574074</x:v>
      </x:c>
      <x:c r="E122" s="107" t="n">
        <x:v>46133.539658518515</x:v>
      </x:c>
      <x:c r="F122" s="76" t="str">
        <x:v>inquiry</x:v>
      </x:c>
      <x:c r="G122" s="113" t="n">
        <x:f>ROUND((E122-D122)*1440,1)</x:f>
        <x:v>1.3</x:v>
      </x:c>
      <x:c r="H122" s="113" t="n">
        <x:f>ROUND((D122-C122)*1440,1)</x:f>
        <x:v>0</x:v>
      </x:c>
      <x:c r="I122" s="113" t="n">
        <x:f>ROUND((E122-C122)*1440,1)</x:f>
        <x:v>1.3</x:v>
      </x:c>
      <x:c r="J122" s="113" t="n">
        <x:f>IF(A122=A121,ROUND((C122-C121)*1440,1),0)</x:f>
        <x:v>19.6</x:v>
      </x:c>
      <x:c r="K122" s="76" t="str">
        <x:v>FrontDesk-01</x:v>
      </x:c>
      <x:c r="L122" s="113" t="n">
        <x:f>MAX(0,COUNTIFS($A$2:$A$401,A122,$C$2:$C$401,"&lt;"&amp;C122,$E$2:$E$401,"&gt;"&amp;C122)-1)</x:f>
        <x:v>0</x:v>
      </x:c>
      <x:c r="M122" s="113" t="n">
        <x:f>HOUR(C122)</x:f>
        <x:v>12</x:v>
      </x:c>
      <x:c r="N122" s="119" t="n">
        <x:f>ROUND((C122-A122-TIME(8,0,0))*1440,1)</x:f>
        <x:v>295.8</x:v>
      </x:c>
    </x:row>
    <x:row r="123" ht="18" customHeight="1">
      <x:c r="A123" s="101" t="n">
        <x:v>46133</x:v>
      </x:c>
      <x:c r="B123" s="76" t="str">
        <x:v>P0122</x:v>
      </x:c>
      <x:c r="C123" s="107" t="n">
        <x:v>46133.546670069445</x:v>
      </x:c>
      <x:c r="D123" s="107" t="n">
        <x:v>46133.546670069445</x:v>
      </x:c>
      <x:c r="E123" s="107" t="n">
        <x:v>46133.54868395833</x:v>
      </x:c>
      <x:c r="F123" s="76" t="str">
        <x:v>billing_payment</x:v>
      </x:c>
      <x:c r="G123" s="113" t="n">
        <x:f>ROUND((E123-D123)*1440,1)</x:f>
        <x:v>2.9</x:v>
      </x:c>
      <x:c r="H123" s="113" t="n">
        <x:f>ROUND((D123-C123)*1440,1)</x:f>
        <x:v>0</x:v>
      </x:c>
      <x:c r="I123" s="113" t="n">
        <x:f>ROUND((E123-C123)*1440,1)</x:f>
        <x:v>2.9</x:v>
      </x:c>
      <x:c r="J123" s="113" t="n">
        <x:f>IF(A123=A122,ROUND((C123-C122)*1440,1),0)</x:f>
        <x:v>11.4</x:v>
      </x:c>
      <x:c r="K123" s="76" t="str">
        <x:v>FrontDesk-01</x:v>
      </x:c>
      <x:c r="L123" s="113" t="n">
        <x:f>MAX(0,COUNTIFS($A$2:$A$401,A123,$C$2:$C$401,"&lt;"&amp;C123,$E$2:$E$401,"&gt;"&amp;C123)-1)</x:f>
        <x:v>0</x:v>
      </x:c>
      <x:c r="M123" s="113" t="n">
        <x:f>HOUR(C123)</x:f>
        <x:v>13</x:v>
      </x:c>
      <x:c r="N123" s="119" t="n">
        <x:f>ROUND((C123-A123-TIME(8,0,0))*1440,1)</x:f>
        <x:v>307.2</x:v>
      </x:c>
    </x:row>
    <x:row r="124" ht="18" customHeight="1">
      <x:c r="A124" s="101" t="n">
        <x:v>46133</x:v>
      </x:c>
      <x:c r="B124" s="76" t="str">
        <x:v>P0123</x:v>
      </x:c>
      <x:c r="C124" s="107" t="n">
        <x:v>46133.554842233796</x:v>
      </x:c>
      <x:c r="D124" s="107" t="n">
        <x:v>46133.554842233796</x:v>
      </x:c>
      <x:c r="E124" s="107" t="n">
        <x:v>46133.55713390046</x:v>
      </x:c>
      <x:c r="F124" s="76" t="str">
        <x:v>report_collection</x:v>
      </x:c>
      <x:c r="G124" s="113" t="n">
        <x:f>ROUND((E124-D124)*1440,1)</x:f>
        <x:v>3.3</x:v>
      </x:c>
      <x:c r="H124" s="113" t="n">
        <x:f>ROUND((D124-C124)*1440,1)</x:f>
        <x:v>0</x:v>
      </x:c>
      <x:c r="I124" s="113" t="n">
        <x:f>ROUND((E124-C124)*1440,1)</x:f>
        <x:v>3.3</x:v>
      </x:c>
      <x:c r="J124" s="113" t="n">
        <x:f>IF(A124=A123,ROUND((C124-C123)*1440,1),0)</x:f>
        <x:v>11.8</x:v>
      </x:c>
      <x:c r="K124" s="76" t="str">
        <x:v>FrontDesk-01</x:v>
      </x:c>
      <x:c r="L124" s="113" t="n">
        <x:f>MAX(0,COUNTIFS($A$2:$A$401,A124,$C$2:$C$401,"&lt;"&amp;C124,$E$2:$E$401,"&gt;"&amp;C124)-1)</x:f>
        <x:v>0</x:v>
      </x:c>
      <x:c r="M124" s="113" t="n">
        <x:f>HOUR(C124)</x:f>
        <x:v>13</x:v>
      </x:c>
      <x:c r="N124" s="119" t="n">
        <x:f>ROUND((C124-A124-TIME(8,0,0))*1440,1)</x:f>
        <x:v>319</x:v>
      </x:c>
    </x:row>
    <x:row r="125" ht="18" customHeight="1">
      <x:c r="A125" s="101" t="n">
        <x:v>46133</x:v>
      </x:c>
      <x:c r="B125" s="76" t="str">
        <x:v>P0124</x:v>
      </x:c>
      <x:c r="C125" s="107" t="n">
        <x:v>46133.556380358794</x:v>
      </x:c>
      <x:c r="D125" s="107" t="n">
        <x:v>46133.55713390046</x:v>
      </x:c>
      <x:c r="E125" s="107" t="n">
        <x:v>46133.56053667824</x:v>
      </x:c>
      <x:c r="F125" s="76" t="str">
        <x:v>registration</x:v>
      </x:c>
      <x:c r="G125" s="113" t="n">
        <x:f>ROUND((E125-D125)*1440,1)</x:f>
        <x:v>4.9</x:v>
      </x:c>
      <x:c r="H125" s="113" t="n">
        <x:f>ROUND((D125-C125)*1440,1)</x:f>
        <x:v>1.1</x:v>
      </x:c>
      <x:c r="I125" s="113" t="n">
        <x:f>ROUND((E125-C125)*1440,1)</x:f>
        <x:v>6</x:v>
      </x:c>
      <x:c r="J125" s="113" t="n">
        <x:f>IF(A125=A124,ROUND((C125-C124)*1440,1),0)</x:f>
        <x:v>2.2</x:v>
      </x:c>
      <x:c r="K125" s="76" t="str">
        <x:v>FrontDesk-01</x:v>
      </x:c>
      <x:c r="L125" s="113" t="n">
        <x:f>MAX(0,COUNTIFS($A$2:$A$401,A125,$C$2:$C$401,"&lt;"&amp;C125,$E$2:$E$401,"&gt;"&amp;C125)-1)</x:f>
        <x:v>0</x:v>
      </x:c>
      <x:c r="M125" s="113" t="n">
        <x:f>HOUR(C125)</x:f>
        <x:v>13</x:v>
      </x:c>
      <x:c r="N125" s="119" t="n">
        <x:f>ROUND((C125-A125-TIME(8,0,0))*1440,1)</x:f>
        <x:v>321.2</x:v>
      </x:c>
    </x:row>
    <x:row r="126" ht="18" customHeight="1">
      <x:c r="A126" s="101" t="n">
        <x:v>46133</x:v>
      </x:c>
      <x:c r="B126" s="76" t="str">
        <x:v>P0125</x:v>
      </x:c>
      <x:c r="C126" s="107" t="n">
        <x:v>46133.55653008102</x:v>
      </x:c>
      <x:c r="D126" s="107" t="n">
        <x:v>46133.56053667824</x:v>
      </x:c>
      <x:c r="E126" s="107" t="n">
        <x:v>46133.56324501157</x:v>
      </x:c>
      <x:c r="F126" s="76" t="str">
        <x:v>registration</x:v>
      </x:c>
      <x:c r="G126" s="113" t="n">
        <x:f>ROUND((E126-D126)*1440,1)</x:f>
        <x:v>3.9</x:v>
      </x:c>
      <x:c r="H126" s="113" t="n">
        <x:f>ROUND((D126-C126)*1440,1)</x:f>
        <x:v>5.8</x:v>
      </x:c>
      <x:c r="I126" s="113" t="n">
        <x:f>ROUND((E126-C126)*1440,1)</x:f>
        <x:v>9.7</x:v>
      </x:c>
      <x:c r="J126" s="113" t="n">
        <x:f>IF(A126=A125,ROUND((C126-C125)*1440,1),0)</x:f>
        <x:v>0.2</x:v>
      </x:c>
      <x:c r="K126" s="76" t="str">
        <x:v>FrontDesk-01</x:v>
      </x:c>
      <x:c r="L126" s="113" t="n">
        <x:f>MAX(0,COUNTIFS($A$2:$A$401,A126,$C$2:$C$401,"&lt;"&amp;C126,$E$2:$E$401,"&gt;"&amp;C126)-1)</x:f>
        <x:v>1</x:v>
      </x:c>
      <x:c r="M126" s="113" t="n">
        <x:f>HOUR(C126)</x:f>
        <x:v>13</x:v>
      </x:c>
      <x:c r="N126" s="119" t="n">
        <x:f>ROUND((C126-A126-TIME(8,0,0))*1440,1)</x:f>
        <x:v>321.4</x:v>
      </x:c>
    </x:row>
    <x:row r="127" ht="18" customHeight="1">
      <x:c r="A127" s="101" t="n">
        <x:v>46133</x:v>
      </x:c>
      <x:c r="B127" s="76" t="str">
        <x:v>P0126</x:v>
      </x:c>
      <x:c r="C127" s="107" t="n">
        <x:v>46133.556661979164</x:v>
      </x:c>
      <x:c r="D127" s="107" t="n">
        <x:v>46133.56324501157</x:v>
      </x:c>
      <x:c r="E127" s="107" t="n">
        <x:v>46133.566231122684</x:v>
      </x:c>
      <x:c r="F127" s="76" t="str">
        <x:v>registration</x:v>
      </x:c>
      <x:c r="G127" s="113" t="n">
        <x:f>ROUND((E127-D127)*1440,1)</x:f>
        <x:v>4.3</x:v>
      </x:c>
      <x:c r="H127" s="113" t="n">
        <x:f>ROUND((D127-C127)*1440,1)</x:f>
        <x:v>9.5</x:v>
      </x:c>
      <x:c r="I127" s="113" t="n">
        <x:f>ROUND((E127-C127)*1440,1)</x:f>
        <x:v>13.8</x:v>
      </x:c>
      <x:c r="J127" s="113" t="n">
        <x:f>IF(A127=A126,ROUND((C127-C126)*1440,1),0)</x:f>
        <x:v>0.2</x:v>
      </x:c>
      <x:c r="K127" s="76" t="str">
        <x:v>FrontDesk-01</x:v>
      </x:c>
      <x:c r="L127" s="113" t="n">
        <x:f>MAX(0,COUNTIFS($A$2:$A$401,A127,$C$2:$C$401,"&lt;"&amp;C127,$E$2:$E$401,"&gt;"&amp;C127)-1)</x:f>
        <x:v>2</x:v>
      </x:c>
      <x:c r="M127" s="113" t="n">
        <x:f>HOUR(C127)</x:f>
        <x:v>13</x:v>
      </x:c>
      <x:c r="N127" s="119" t="n">
        <x:f>ROUND((C127-A127-TIME(8,0,0))*1440,1)</x:f>
        <x:v>321.6</x:v>
      </x:c>
    </x:row>
    <x:row r="128" ht="18" customHeight="1">
      <x:c r="A128" s="101" t="n">
        <x:v>46133</x:v>
      </x:c>
      <x:c r="B128" s="76" t="str">
        <x:v>P0127</x:v>
      </x:c>
      <x:c r="C128" s="107" t="n">
        <x:v>46133.56076521991</x:v>
      </x:c>
      <x:c r="D128" s="107" t="n">
        <x:v>46133.566231122684</x:v>
      </x:c>
      <x:c r="E128" s="107" t="n">
        <x:v>46133.56824501157</x:v>
      </x:c>
      <x:c r="F128" s="76" t="str">
        <x:v>report_collection</x:v>
      </x:c>
      <x:c r="G128" s="113" t="n">
        <x:f>ROUND((E128-D128)*1440,1)</x:f>
        <x:v>2.9</x:v>
      </x:c>
      <x:c r="H128" s="113" t="n">
        <x:f>ROUND((D128-C128)*1440,1)</x:f>
        <x:v>7.9</x:v>
      </x:c>
      <x:c r="I128" s="113" t="n">
        <x:f>ROUND((E128-C128)*1440,1)</x:f>
        <x:v>10.8</x:v>
      </x:c>
      <x:c r="J128" s="113" t="n">
        <x:f>IF(A128=A127,ROUND((C128-C127)*1440,1),0)</x:f>
        <x:v>5.9</x:v>
      </x:c>
      <x:c r="K128" s="76" t="str">
        <x:v>FrontDesk-01</x:v>
      </x:c>
      <x:c r="L128" s="113" t="n">
        <x:f>MAX(0,COUNTIFS($A$2:$A$401,A128,$C$2:$C$401,"&lt;"&amp;C128,$E$2:$E$401,"&gt;"&amp;C128)-1)</x:f>
        <x:v>1</x:v>
      </x:c>
      <x:c r="M128" s="113" t="n">
        <x:f>HOUR(C128)</x:f>
        <x:v>13</x:v>
      </x:c>
      <x:c r="N128" s="119" t="n">
        <x:f>ROUND((C128-A128-TIME(8,0,0))*1440,1)</x:f>
        <x:v>327.5</x:v>
      </x:c>
    </x:row>
    <x:row r="129" ht="18" customHeight="1">
      <x:c r="A129" s="101" t="n">
        <x:v>46133</x:v>
      </x:c>
      <x:c r="B129" s="76" t="str">
        <x:v>P0128</x:v>
      </x:c>
      <x:c r="C129" s="107" t="n">
        <x:v>46133.56434952546</x:v>
      </x:c>
      <x:c r="D129" s="107" t="n">
        <x:v>46133.56824501157</x:v>
      </x:c>
      <x:c r="E129" s="107" t="n">
        <x:v>46133.57192556713</x:v>
      </x:c>
      <x:c r="F129" s="76" t="str">
        <x:v>sample_submission</x:v>
      </x:c>
      <x:c r="G129" s="113" t="n">
        <x:f>ROUND((E129-D129)*1440,1)</x:f>
        <x:v>5.3</x:v>
      </x:c>
      <x:c r="H129" s="113" t="n">
        <x:f>ROUND((D129-C129)*1440,1)</x:f>
        <x:v>5.6</x:v>
      </x:c>
      <x:c r="I129" s="113" t="n">
        <x:f>ROUND((E129-C129)*1440,1)</x:f>
        <x:v>10.9</x:v>
      </x:c>
      <x:c r="J129" s="113" t="n">
        <x:f>IF(A129=A128,ROUND((C129-C128)*1440,1),0)</x:f>
        <x:v>5.2</x:v>
      </x:c>
      <x:c r="K129" s="76" t="str">
        <x:v>FrontDesk-01</x:v>
      </x:c>
      <x:c r="L129" s="113" t="n">
        <x:f>MAX(0,COUNTIFS($A$2:$A$401,A129,$C$2:$C$401,"&lt;"&amp;C129,$E$2:$E$401,"&gt;"&amp;C129)-1)</x:f>
        <x:v>1</x:v>
      </x:c>
      <x:c r="M129" s="113" t="n">
        <x:f>HOUR(C129)</x:f>
        <x:v>13</x:v>
      </x:c>
      <x:c r="N129" s="119" t="n">
        <x:f>ROUND((C129-A129-TIME(8,0,0))*1440,1)</x:f>
        <x:v>332.7</x:v>
      </x:c>
    </x:row>
    <x:row r="130" ht="18" customHeight="1">
      <x:c r="A130" s="101" t="n">
        <x:v>46133</x:v>
      </x:c>
      <x:c r="B130" s="76" t="str">
        <x:v>P0129</x:v>
      </x:c>
      <x:c r="C130" s="107" t="n">
        <x:v>46133.56620127315</x:v>
      </x:c>
      <x:c r="D130" s="107" t="n">
        <x:v>46133.57192556713</x:v>
      </x:c>
      <x:c r="E130" s="107" t="n">
        <x:v>46133.57484223379</x:v>
      </x:c>
      <x:c r="F130" s="76" t="str">
        <x:v>sample_submission</x:v>
      </x:c>
      <x:c r="G130" s="113" t="n">
        <x:f>ROUND((E130-D130)*1440,1)</x:f>
        <x:v>4.2</x:v>
      </x:c>
      <x:c r="H130" s="113" t="n">
        <x:f>ROUND((D130-C130)*1440,1)</x:f>
        <x:v>8.2</x:v>
      </x:c>
      <x:c r="I130" s="113" t="n">
        <x:f>ROUND((E130-C130)*1440,1)</x:f>
        <x:v>12.4</x:v>
      </x:c>
      <x:c r="J130" s="113" t="n">
        <x:f>IF(A130=A129,ROUND((C130-C129)*1440,1),0)</x:f>
        <x:v>2.7</x:v>
      </x:c>
      <x:c r="K130" s="76" t="str">
        <x:v>FrontDesk-01</x:v>
      </x:c>
      <x:c r="L130" s="113" t="n">
        <x:f>MAX(0,COUNTIFS($A$2:$A$401,A130,$C$2:$C$401,"&lt;"&amp;C130,$E$2:$E$401,"&gt;"&amp;C130)-1)</x:f>
        <x:v>2</x:v>
      </x:c>
      <x:c r="M130" s="113" t="n">
        <x:f>HOUR(C130)</x:f>
        <x:v>13</x:v>
      </x:c>
      <x:c r="N130" s="119" t="n">
        <x:f>ROUND((C130-A130-TIME(8,0,0))*1440,1)</x:f>
        <x:v>335.3</x:v>
      </x:c>
    </x:row>
    <x:row r="131" ht="18" customHeight="1">
      <x:c r="A131" s="101" t="n">
        <x:v>46133</x:v>
      </x:c>
      <x:c r="B131" s="76" t="str">
        <x:v>P0130</x:v>
      </x:c>
      <x:c r="C131" s="107" t="n">
        <x:v>46133.569061875</x:v>
      </x:c>
      <x:c r="D131" s="107" t="n">
        <x:v>46133.57484223379</x:v>
      </x:c>
      <x:c r="E131" s="107" t="n">
        <x:v>46133.57699501157</x:v>
      </x:c>
      <x:c r="F131" s="76" t="str">
        <x:v>registration</x:v>
      </x:c>
      <x:c r="G131" s="113" t="n">
        <x:f>ROUND((E131-D131)*1440,1)</x:f>
        <x:v>3.1</x:v>
      </x:c>
      <x:c r="H131" s="113" t="n">
        <x:f>ROUND((D131-C131)*1440,1)</x:f>
        <x:v>8.3</x:v>
      </x:c>
      <x:c r="I131" s="113" t="n">
        <x:f>ROUND((E131-C131)*1440,1)</x:f>
        <x:v>11.4</x:v>
      </x:c>
      <x:c r="J131" s="113" t="n">
        <x:f>IF(A131=A130,ROUND((C131-C130)*1440,1),0)</x:f>
        <x:v>4.1</x:v>
      </x:c>
      <x:c r="K131" s="76" t="str">
        <x:v>FrontDesk-01</x:v>
      </x:c>
      <x:c r="L131" s="113" t="n">
        <x:f>MAX(0,COUNTIFS($A$2:$A$401,A131,$C$2:$C$401,"&lt;"&amp;C131,$E$2:$E$401,"&gt;"&amp;C131)-1)</x:f>
        <x:v>1</x:v>
      </x:c>
      <x:c r="M131" s="113" t="n">
        <x:f>HOUR(C131)</x:f>
        <x:v>13</x:v>
      </x:c>
      <x:c r="N131" s="119" t="n">
        <x:f>ROUND((C131-A131-TIME(8,0,0))*1440,1)</x:f>
        <x:v>339.4</x:v>
      </x:c>
    </x:row>
    <x:row r="132" ht="18" customHeight="1">
      <x:c r="A132" s="101" t="n">
        <x:v>46133</x:v>
      </x:c>
      <x:c r="B132" s="76" t="str">
        <x:v>P0131</x:v>
      </x:c>
      <x:c r="C132" s="107" t="n">
        <x:v>46133.56983204861</x:v>
      </x:c>
      <x:c r="D132" s="107" t="n">
        <x:v>46133.57699501157</x:v>
      </x:c>
      <x:c r="E132" s="107" t="n">
        <x:v>46133.57956445602</x:v>
      </x:c>
      <x:c r="F132" s="76" t="str">
        <x:v>sample_submission</x:v>
      </x:c>
      <x:c r="G132" s="113" t="n">
        <x:f>ROUND((E132-D132)*1440,1)</x:f>
        <x:v>3.7</x:v>
      </x:c>
      <x:c r="H132" s="113" t="n">
        <x:f>ROUND((D132-C132)*1440,1)</x:f>
        <x:v>10.3</x:v>
      </x:c>
      <x:c r="I132" s="113" t="n">
        <x:f>ROUND((E132-C132)*1440,1)</x:f>
        <x:v>14</x:v>
      </x:c>
      <x:c r="J132" s="113" t="n">
        <x:f>IF(A132=A131,ROUND((C132-C131)*1440,1),0)</x:f>
        <x:v>1.1</x:v>
      </x:c>
      <x:c r="K132" s="76" t="str">
        <x:v>FrontDesk-01</x:v>
      </x:c>
      <x:c r="L132" s="113" t="n">
        <x:f>MAX(0,COUNTIFS($A$2:$A$401,A132,$C$2:$C$401,"&lt;"&amp;C132,$E$2:$E$401,"&gt;"&amp;C132)-1)</x:f>
        <x:v>2</x:v>
      </x:c>
      <x:c r="M132" s="113" t="n">
        <x:f>HOUR(C132)</x:f>
        <x:v>13</x:v>
      </x:c>
      <x:c r="N132" s="119" t="n">
        <x:f>ROUND((C132-A132-TIME(8,0,0))*1440,1)</x:f>
        <x:v>340.6</x:v>
      </x:c>
    </x:row>
    <x:row r="133" ht="18" customHeight="1">
      <x:c r="A133" s="101" t="n">
        <x:v>46133</x:v>
      </x:c>
      <x:c r="B133" s="76" t="str">
        <x:v>P0132</x:v>
      </x:c>
      <x:c r="C133" s="107" t="n">
        <x:v>46133.57219226852</x:v>
      </x:c>
      <x:c r="D133" s="107" t="n">
        <x:v>46133.57956445602</x:v>
      </x:c>
      <x:c r="E133" s="107" t="n">
        <x:v>46133.58275890046</x:v>
      </x:c>
      <x:c r="F133" s="76" t="str">
        <x:v>sample_submission</x:v>
      </x:c>
      <x:c r="G133" s="113" t="n">
        <x:f>ROUND((E133-D133)*1440,1)</x:f>
        <x:v>4.6</x:v>
      </x:c>
      <x:c r="H133" s="113" t="n">
        <x:f>ROUND((D133-C133)*1440,1)</x:f>
        <x:v>10.6</x:v>
      </x:c>
      <x:c r="I133" s="113" t="n">
        <x:f>ROUND((E133-C133)*1440,1)</x:f>
        <x:v>15.2</x:v>
      </x:c>
      <x:c r="J133" s="113" t="n">
        <x:f>IF(A133=A132,ROUND((C133-C132)*1440,1),0)</x:f>
        <x:v>3.4</x:v>
      </x:c>
      <x:c r="K133" s="76" t="str">
        <x:v>FrontDesk-01</x:v>
      </x:c>
      <x:c r="L133" s="113" t="n">
        <x:f>MAX(0,COUNTIFS($A$2:$A$401,A133,$C$2:$C$401,"&lt;"&amp;C133,$E$2:$E$401,"&gt;"&amp;C133)-1)</x:f>
        <x:v>2</x:v>
      </x:c>
      <x:c r="M133" s="113" t="n">
        <x:f>HOUR(C133)</x:f>
        <x:v>13</x:v>
      </x:c>
      <x:c r="N133" s="119" t="n">
        <x:f>ROUND((C133-A133-TIME(8,0,0))*1440,1)</x:f>
        <x:v>344</x:v>
      </x:c>
    </x:row>
    <x:row r="134" ht="18" customHeight="1">
      <x:c r="A134" s="101" t="n">
        <x:v>46133</x:v>
      </x:c>
      <x:c r="B134" s="76" t="str">
        <x:v>P0133</x:v>
      </x:c>
      <x:c r="C134" s="107" t="n">
        <x:v>46133.57307482639</x:v>
      </x:c>
      <x:c r="D134" s="107" t="n">
        <x:v>46133.58275890046</x:v>
      </x:c>
      <x:c r="E134" s="107" t="n">
        <x:v>46133.585258900464</x:v>
      </x:c>
      <x:c r="F134" s="76" t="str">
        <x:v>billing_payment</x:v>
      </x:c>
      <x:c r="G134" s="113" t="n">
        <x:f>ROUND((E134-D134)*1440,1)</x:f>
        <x:v>3.6</x:v>
      </x:c>
      <x:c r="H134" s="113" t="n">
        <x:f>ROUND((D134-C134)*1440,1)</x:f>
        <x:v>13.9</x:v>
      </x:c>
      <x:c r="I134" s="113" t="n">
        <x:f>ROUND((E134-C134)*1440,1)</x:f>
        <x:v>17.5</x:v>
      </x:c>
      <x:c r="J134" s="113" t="n">
        <x:f>IF(A134=A133,ROUND((C134-C133)*1440,1),0)</x:f>
        <x:v>1.3</x:v>
      </x:c>
      <x:c r="K134" s="76" t="str">
        <x:v>FrontDesk-01</x:v>
      </x:c>
      <x:c r="L134" s="113" t="n">
        <x:f>MAX(0,COUNTIFS($A$2:$A$401,A134,$C$2:$C$401,"&lt;"&amp;C134,$E$2:$E$401,"&gt;"&amp;C134)-1)</x:f>
        <x:v>3</x:v>
      </x:c>
      <x:c r="M134" s="113" t="n">
        <x:f>HOUR(C134)</x:f>
        <x:v>13</x:v>
      </x:c>
      <x:c r="N134" s="119" t="n">
        <x:f>ROUND((C134-A134-TIME(8,0,0))*1440,1)</x:f>
        <x:v>345.2</x:v>
      </x:c>
    </x:row>
    <x:row r="135" ht="18" customHeight="1">
      <x:c r="A135" s="101" t="n">
        <x:v>46133</x:v>
      </x:c>
      <x:c r="B135" s="76" t="str">
        <x:v>P0134</x:v>
      </x:c>
      <x:c r="C135" s="107" t="n">
        <x:v>46133.57506408565</x:v>
      </x:c>
      <x:c r="D135" s="107" t="n">
        <x:v>46133.585258900464</x:v>
      </x:c>
      <x:c r="E135" s="107" t="n">
        <x:v>46133.58866167824</x:v>
      </x:c>
      <x:c r="F135" s="76" t="str">
        <x:v>sample_submission</x:v>
      </x:c>
      <x:c r="G135" s="113" t="n">
        <x:f>ROUND((E135-D135)*1440,1)</x:f>
        <x:v>4.9</x:v>
      </x:c>
      <x:c r="H135" s="113" t="n">
        <x:f>ROUND((D135-C135)*1440,1)</x:f>
        <x:v>14.7</x:v>
      </x:c>
      <x:c r="I135" s="113" t="n">
        <x:f>ROUND((E135-C135)*1440,1)</x:f>
        <x:v>19.6</x:v>
      </x:c>
      <x:c r="J135" s="113" t="n">
        <x:f>IF(A135=A134,ROUND((C135-C134)*1440,1),0)</x:f>
        <x:v>2.9</x:v>
      </x:c>
      <x:c r="K135" s="76" t="str">
        <x:v>FrontDesk-01</x:v>
      </x:c>
      <x:c r="L135" s="113" t="n">
        <x:f>MAX(0,COUNTIFS($A$2:$A$401,A135,$C$2:$C$401,"&lt;"&amp;C135,$E$2:$E$401,"&gt;"&amp;C135)-1)</x:f>
        <x:v>3</x:v>
      </x:c>
      <x:c r="M135" s="113" t="n">
        <x:f>HOUR(C135)</x:f>
        <x:v>13</x:v>
      </x:c>
      <x:c r="N135" s="119" t="n">
        <x:f>ROUND((C135-A135-TIME(8,0,0))*1440,1)</x:f>
        <x:v>348.1</x:v>
      </x:c>
    </x:row>
    <x:row r="136" ht="18" customHeight="1">
      <x:c r="A136" s="101" t="n">
        <x:v>46133</x:v>
      </x:c>
      <x:c r="B136" s="76" t="str">
        <x:v>P0135</x:v>
      </x:c>
      <x:c r="C136" s="107" t="n">
        <x:v>46133.57626</x:v>
      </x:c>
      <x:c r="D136" s="107" t="n">
        <x:v>46133.58866167824</x:v>
      </x:c>
      <x:c r="E136" s="107" t="n">
        <x:v>46133.59046723379</x:v>
      </x:c>
      <x:c r="F136" s="76" t="str">
        <x:v>billing_payment</x:v>
      </x:c>
      <x:c r="G136" s="113" t="n">
        <x:f>ROUND((E136-D136)*1440,1)</x:f>
        <x:v>2.6</x:v>
      </x:c>
      <x:c r="H136" s="113" t="n">
        <x:f>ROUND((D136-C136)*1440,1)</x:f>
        <x:v>17.9</x:v>
      </x:c>
      <x:c r="I136" s="113" t="n">
        <x:f>ROUND((E136-C136)*1440,1)</x:f>
        <x:v>20.5</x:v>
      </x:c>
      <x:c r="J136" s="113" t="n">
        <x:f>IF(A136=A135,ROUND((C136-C135)*1440,1),0)</x:f>
        <x:v>1.7</x:v>
      </x:c>
      <x:c r="K136" s="76" t="str">
        <x:v>FrontDesk-01</x:v>
      </x:c>
      <x:c r="L136" s="113" t="n">
        <x:f>MAX(0,COUNTIFS($A$2:$A$401,A136,$C$2:$C$401,"&lt;"&amp;C136,$E$2:$E$401,"&gt;"&amp;C136)-1)</x:f>
        <x:v>4</x:v>
      </x:c>
      <x:c r="M136" s="113" t="n">
        <x:f>HOUR(C136)</x:f>
        <x:v>13</x:v>
      </x:c>
      <x:c r="N136" s="119" t="n">
        <x:f>ROUND((C136-A136-TIME(8,0,0))*1440,1)</x:f>
        <x:v>349.8</x:v>
      </x:c>
    </x:row>
    <x:row r="137" ht="18" customHeight="1">
      <x:c r="A137" s="101" t="n">
        <x:v>46133</x:v>
      </x:c>
      <x:c r="B137" s="76" t="str">
        <x:v>P0136</x:v>
      </x:c>
      <x:c r="C137" s="107" t="n">
        <x:v>46133.576541504626</x:v>
      </x:c>
      <x:c r="D137" s="107" t="n">
        <x:v>46133.59046723379</x:v>
      </x:c>
      <x:c r="E137" s="107" t="n">
        <x:v>46133.594008900465</x:v>
      </x:c>
      <x:c r="F137" s="76" t="str">
        <x:v>registration</x:v>
      </x:c>
      <x:c r="G137" s="113" t="n">
        <x:f>ROUND((E137-D137)*1440,1)</x:f>
        <x:v>5.1</x:v>
      </x:c>
      <x:c r="H137" s="113" t="n">
        <x:f>ROUND((D137-C137)*1440,1)</x:f>
        <x:v>20.1</x:v>
      </x:c>
      <x:c r="I137" s="113" t="n">
        <x:f>ROUND((E137-C137)*1440,1)</x:f>
        <x:v>25.2</x:v>
      </x:c>
      <x:c r="J137" s="113" t="n">
        <x:f>IF(A137=A136,ROUND((C137-C136)*1440,1),0)</x:f>
        <x:v>0.4</x:v>
      </x:c>
      <x:c r="K137" s="76" t="str">
        <x:v>FrontDesk-01</x:v>
      </x:c>
      <x:c r="L137" s="113" t="n">
        <x:f>MAX(0,COUNTIFS($A$2:$A$401,A137,$C$2:$C$401,"&lt;"&amp;C137,$E$2:$E$401,"&gt;"&amp;C137)-1)</x:f>
        <x:v>5</x:v>
      </x:c>
      <x:c r="M137" s="113" t="n">
        <x:f>HOUR(C137)</x:f>
        <x:v>13</x:v>
      </x:c>
      <x:c r="N137" s="119" t="n">
        <x:f>ROUND((C137-A137-TIME(8,0,0))*1440,1)</x:f>
        <x:v>350.2</x:v>
      </x:c>
    </x:row>
    <x:row r="138" ht="18" customHeight="1">
      <x:c r="A138" s="101" t="n">
        <x:v>46133</x:v>
      </x:c>
      <x:c r="B138" s="76" t="str">
        <x:v>P0137</x:v>
      </x:c>
      <x:c r="C138" s="107" t="n">
        <x:v>46133.57913116898</x:v>
      </x:c>
      <x:c r="D138" s="107" t="n">
        <x:v>46133.594008900465</x:v>
      </x:c>
      <x:c r="E138" s="107" t="n">
        <x:v>46133.59664778935</x:v>
      </x:c>
      <x:c r="F138" s="76" t="str">
        <x:v>registration</x:v>
      </x:c>
      <x:c r="G138" s="113" t="n">
        <x:f>ROUND((E138-D138)*1440,1)</x:f>
        <x:v>3.8</x:v>
      </x:c>
      <x:c r="H138" s="113" t="n">
        <x:f>ROUND((D138-C138)*1440,1)</x:f>
        <x:v>21.4</x:v>
      </x:c>
      <x:c r="I138" s="113" t="n">
        <x:f>ROUND((E138-C138)*1440,1)</x:f>
        <x:v>25.2</x:v>
      </x:c>
      <x:c r="J138" s="113" t="n">
        <x:f>IF(A138=A137,ROUND((C138-C137)*1440,1),0)</x:f>
        <x:v>3.7</x:v>
      </x:c>
      <x:c r="K138" s="76" t="str">
        <x:v>FrontDesk-01</x:v>
      </x:c>
      <x:c r="L138" s="113" t="n">
        <x:f>MAX(0,COUNTIFS($A$2:$A$401,A138,$C$2:$C$401,"&lt;"&amp;C138,$E$2:$E$401,"&gt;"&amp;C138)-1)</x:f>
        <x:v>5</x:v>
      </x:c>
      <x:c r="M138" s="113" t="n">
        <x:f>HOUR(C138)</x:f>
        <x:v>13</x:v>
      </x:c>
      <x:c r="N138" s="119" t="n">
        <x:f>ROUND((C138-A138-TIME(8,0,0))*1440,1)</x:f>
        <x:v>353.9</x:v>
      </x:c>
    </x:row>
    <x:row r="139" ht="18" customHeight="1">
      <x:c r="A139" s="101" t="n">
        <x:v>46133</x:v>
      </x:c>
      <x:c r="B139" s="76" t="str">
        <x:v>P0138</x:v>
      </x:c>
      <x:c r="C139" s="107" t="n">
        <x:v>46133.58210432871</x:v>
      </x:c>
      <x:c r="D139" s="107" t="n">
        <x:v>46133.59664778935</x:v>
      </x:c>
      <x:c r="E139" s="107" t="n">
        <x:v>46133.59803667824</x:v>
      </x:c>
      <x:c r="F139" s="76" t="str">
        <x:v>report_collection</x:v>
      </x:c>
      <x:c r="G139" s="113" t="n">
        <x:f>ROUND((E139-D139)*1440,1)</x:f>
        <x:v>2</x:v>
      </x:c>
      <x:c r="H139" s="113" t="n">
        <x:f>ROUND((D139-C139)*1440,1)</x:f>
        <x:v>20.9</x:v>
      </x:c>
      <x:c r="I139" s="113" t="n">
        <x:f>ROUND((E139-C139)*1440,1)</x:f>
        <x:v>22.9</x:v>
      </x:c>
      <x:c r="J139" s="113" t="n">
        <x:f>IF(A139=A138,ROUND((C139-C138)*1440,1),0)</x:f>
        <x:v>4.3</x:v>
      </x:c>
      <x:c r="K139" s="76" t="str">
        <x:v>FrontDesk-01</x:v>
      </x:c>
      <x:c r="L139" s="113" t="n">
        <x:f>MAX(0,COUNTIFS($A$2:$A$401,A139,$C$2:$C$401,"&lt;"&amp;C139,$E$2:$E$401,"&gt;"&amp;C139)-1)</x:f>
        <x:v>5</x:v>
      </x:c>
      <x:c r="M139" s="113" t="n">
        <x:f>HOUR(C139)</x:f>
        <x:v>13</x:v>
      </x:c>
      <x:c r="N139" s="119" t="n">
        <x:f>ROUND((C139-A139-TIME(8,0,0))*1440,1)</x:f>
        <x:v>358.2</x:v>
      </x:c>
    </x:row>
    <x:row r="140" ht="18" customHeight="1">
      <x:c r="A140" s="101" t="n">
        <x:v>46133</x:v>
      </x:c>
      <x:c r="B140" s="76" t="str">
        <x:v>P0139</x:v>
      </x:c>
      <x:c r="C140" s="107" t="n">
        <x:v>46133.58303829861</x:v>
      </x:c>
      <x:c r="D140" s="107" t="n">
        <x:v>46133.59803667824</x:v>
      </x:c>
      <x:c r="E140" s="107" t="n">
        <x:v>46133.60206445602</x:v>
      </x:c>
      <x:c r="F140" s="76" t="str">
        <x:v>sample_submission</x:v>
      </x:c>
      <x:c r="G140" s="113" t="n">
        <x:f>ROUND((E140-D140)*1440,1)</x:f>
        <x:v>5.8</x:v>
      </x:c>
      <x:c r="H140" s="113" t="n">
        <x:f>ROUND((D140-C140)*1440,1)</x:f>
        <x:v>21.6</x:v>
      </x:c>
      <x:c r="I140" s="113" t="n">
        <x:f>ROUND((E140-C140)*1440,1)</x:f>
        <x:v>27.4</x:v>
      </x:c>
      <x:c r="J140" s="113" t="n">
        <x:f>IF(A140=A139,ROUND((C140-C139)*1440,1),0)</x:f>
        <x:v>1.3</x:v>
      </x:c>
      <x:c r="K140" s="76" t="str">
        <x:v>FrontDesk-01</x:v>
      </x:c>
      <x:c r="L140" s="113" t="n">
        <x:f>MAX(0,COUNTIFS($A$2:$A$401,A140,$C$2:$C$401,"&lt;"&amp;C140,$E$2:$E$401,"&gt;"&amp;C140)-1)</x:f>
        <x:v>5</x:v>
      </x:c>
      <x:c r="M140" s="113" t="n">
        <x:f>HOUR(C140)</x:f>
        <x:v>13</x:v>
      </x:c>
      <x:c r="N140" s="119" t="n">
        <x:f>ROUND((C140-A140-TIME(8,0,0))*1440,1)</x:f>
        <x:v>359.6</x:v>
      </x:c>
    </x:row>
    <x:row r="141" ht="18" customHeight="1">
      <x:c r="A141" s="101" t="n">
        <x:v>46133</x:v>
      </x:c>
      <x:c r="B141" s="76" t="str">
        <x:v>P0140</x:v>
      </x:c>
      <x:c r="C141" s="107" t="n">
        <x:v>46133.58416907407</x:v>
      </x:c>
      <x:c r="D141" s="107" t="n">
        <x:v>46133.60206445602</x:v>
      </x:c>
      <x:c r="E141" s="107" t="n">
        <x:v>46133.605606122685</x:v>
      </x:c>
      <x:c r="F141" s="76" t="str">
        <x:v>registration</x:v>
      </x:c>
      <x:c r="G141" s="113" t="n">
        <x:f>ROUND((E141-D141)*1440,1)</x:f>
        <x:v>5.1</x:v>
      </x:c>
      <x:c r="H141" s="113" t="n">
        <x:f>ROUND((D141-C141)*1440,1)</x:f>
        <x:v>25.8</x:v>
      </x:c>
      <x:c r="I141" s="113" t="n">
        <x:f>ROUND((E141-C141)*1440,1)</x:f>
        <x:v>30.9</x:v>
      </x:c>
      <x:c r="J141" s="113" t="n">
        <x:f>IF(A141=A140,ROUND((C141-C140)*1440,1),0)</x:f>
        <x:v>1.6</x:v>
      </x:c>
      <x:c r="K141" s="76" t="str">
        <x:v>FrontDesk-01</x:v>
      </x:c>
      <x:c r="L141" s="113" t="n">
        <x:f>MAX(0,COUNTIFS($A$2:$A$401,A141,$C$2:$C$401,"&lt;"&amp;C141,$E$2:$E$401,"&gt;"&amp;C141)-1)</x:f>
        <x:v>6</x:v>
      </x:c>
      <x:c r="M141" s="113" t="n">
        <x:f>HOUR(C141)</x:f>
        <x:v>14</x:v>
      </x:c>
      <x:c r="N141" s="119" t="n">
        <x:f>ROUND((C141-A141-TIME(8,0,0))*1440,1)</x:f>
        <x:v>361.2</x:v>
      </x:c>
    </x:row>
    <x:row r="142" ht="18" customHeight="1">
      <x:c r="A142" s="101" t="n">
        <x:v>46133</x:v>
      </x:c>
      <x:c r="B142" s="76" t="str">
        <x:v>P0141</x:v>
      </x:c>
      <x:c r="C142" s="107" t="n">
        <x:v>46133.584701168984</x:v>
      </x:c>
      <x:c r="D142" s="107" t="n">
        <x:v>46133.605606122685</x:v>
      </x:c>
      <x:c r="E142" s="107" t="n">
        <x:v>46133.60942556713</x:v>
      </x:c>
      <x:c r="F142" s="76" t="str">
        <x:v>registration</x:v>
      </x:c>
      <x:c r="G142" s="113" t="n">
        <x:f>ROUND((E142-D142)*1440,1)</x:f>
        <x:v>5.5</x:v>
      </x:c>
      <x:c r="H142" s="113" t="n">
        <x:f>ROUND((D142-C142)*1440,1)</x:f>
        <x:v>30.1</x:v>
      </x:c>
      <x:c r="I142" s="113" t="n">
        <x:f>ROUND((E142-C142)*1440,1)</x:f>
        <x:v>35.6</x:v>
      </x:c>
      <x:c r="J142" s="113" t="n">
        <x:f>IF(A142=A141,ROUND((C142-C141)*1440,1),0)</x:f>
        <x:v>0.8</x:v>
      </x:c>
      <x:c r="K142" s="76" t="str">
        <x:v>FrontDesk-01</x:v>
      </x:c>
      <x:c r="L142" s="113" t="n">
        <x:f>MAX(0,COUNTIFS($A$2:$A$401,A142,$C$2:$C$401,"&lt;"&amp;C142,$E$2:$E$401,"&gt;"&amp;C142)-1)</x:f>
        <x:v>7</x:v>
      </x:c>
      <x:c r="M142" s="113" t="n">
        <x:f>HOUR(C142)</x:f>
        <x:v>14</x:v>
      </x:c>
      <x:c r="N142" s="119" t="n">
        <x:f>ROUND((C142-A142-TIME(8,0,0))*1440,1)</x:f>
        <x:v>362</x:v>
      </x:c>
    </x:row>
    <x:row r="143" ht="18" customHeight="1">
      <x:c r="A143" s="101" t="n">
        <x:v>46133</x:v>
      </x:c>
      <x:c r="B143" s="76" t="str">
        <x:v>P0142</x:v>
      </x:c>
      <x:c r="C143" s="107" t="n">
        <x:v>46133.58551398148</x:v>
      </x:c>
      <x:c r="D143" s="107" t="n">
        <x:v>46133.60942556713</x:v>
      </x:c>
      <x:c r="E143" s="107" t="n">
        <x:v>46133.61039778935</x:v>
      </x:c>
      <x:c r="F143" s="76" t="str">
        <x:v>inquiry</x:v>
      </x:c>
      <x:c r="G143" s="113" t="n">
        <x:f>ROUND((E143-D143)*1440,1)</x:f>
        <x:v>1.4</x:v>
      </x:c>
      <x:c r="H143" s="113" t="n">
        <x:f>ROUND((D143-C143)*1440,1)</x:f>
        <x:v>34.4</x:v>
      </x:c>
      <x:c r="I143" s="113" t="n">
        <x:f>ROUND((E143-C143)*1440,1)</x:f>
        <x:v>35.8</x:v>
      </x:c>
      <x:c r="J143" s="113" t="n">
        <x:f>IF(A143=A142,ROUND((C143-C142)*1440,1),0)</x:f>
        <x:v>1.2</x:v>
      </x:c>
      <x:c r="K143" s="76" t="str">
        <x:v>FrontDesk-01</x:v>
      </x:c>
      <x:c r="L143" s="113" t="n">
        <x:f>MAX(0,COUNTIFS($A$2:$A$401,A143,$C$2:$C$401,"&lt;"&amp;C143,$E$2:$E$401,"&gt;"&amp;C143)-1)</x:f>
        <x:v>7</x:v>
      </x:c>
      <x:c r="M143" s="113" t="n">
        <x:f>HOUR(C143)</x:f>
        <x:v>14</x:v>
      </x:c>
      <x:c r="N143" s="119" t="n">
        <x:f>ROUND((C143-A143-TIME(8,0,0))*1440,1)</x:f>
        <x:v>363.1</x:v>
      </x:c>
    </x:row>
    <x:row r="144" ht="18" customHeight="1">
      <x:c r="A144" s="101" t="n">
        <x:v>46133</x:v>
      </x:c>
      <x:c r="B144" s="76" t="str">
        <x:v>P0143</x:v>
      </x:c>
      <x:c r="C144" s="107" t="n">
        <x:v>46133.587219988425</x:v>
      </x:c>
      <x:c r="D144" s="107" t="n">
        <x:v>46133.61039778935</x:v>
      </x:c>
      <x:c r="E144" s="107" t="n">
        <x:v>46133.61463390046</x:v>
      </x:c>
      <x:c r="F144" s="76" t="str">
        <x:v>sample_submission</x:v>
      </x:c>
      <x:c r="G144" s="113" t="n">
        <x:f>ROUND((E144-D144)*1440,1)</x:f>
        <x:v>6.1</x:v>
      </x:c>
      <x:c r="H144" s="113" t="n">
        <x:f>ROUND((D144-C144)*1440,1)</x:f>
        <x:v>33.4</x:v>
      </x:c>
      <x:c r="I144" s="113" t="n">
        <x:f>ROUND((E144-C144)*1440,1)</x:f>
        <x:v>39.5</x:v>
      </x:c>
      <x:c r="J144" s="113" t="n">
        <x:f>IF(A144=A143,ROUND((C144-C143)*1440,1),0)</x:f>
        <x:v>2.5</x:v>
      </x:c>
      <x:c r="K144" s="76" t="str">
        <x:v>FrontDesk-01</x:v>
      </x:c>
      <x:c r="L144" s="113" t="n">
        <x:f>MAX(0,COUNTIFS($A$2:$A$401,A144,$C$2:$C$401,"&lt;"&amp;C144,$E$2:$E$401,"&gt;"&amp;C144)-1)</x:f>
        <x:v>8</x:v>
      </x:c>
      <x:c r="M144" s="113" t="n">
        <x:f>HOUR(C144)</x:f>
        <x:v>14</x:v>
      </x:c>
      <x:c r="N144" s="119" t="n">
        <x:f>ROUND((C144-A144-TIME(8,0,0))*1440,1)</x:f>
        <x:v>365.6</x:v>
      </x:c>
    </x:row>
    <x:row r="145" ht="18" customHeight="1">
      <x:c r="A145" s="101" t="n">
        <x:v>46133</x:v>
      </x:c>
      <x:c r="B145" s="76" t="str">
        <x:v>P0144</x:v>
      </x:c>
      <x:c r="C145" s="107" t="n">
        <x:v>46133.58740497685</x:v>
      </x:c>
      <x:c r="D145" s="107" t="n">
        <x:v>46133.61463390046</x:v>
      </x:c>
      <x:c r="E145" s="107" t="n">
        <x:v>46133.617828344904</x:v>
      </x:c>
      <x:c r="F145" s="76" t="str">
        <x:v>sample_submission</x:v>
      </x:c>
      <x:c r="G145" s="113" t="n">
        <x:f>ROUND((E145-D145)*1440,1)</x:f>
        <x:v>4.6</x:v>
      </x:c>
      <x:c r="H145" s="113" t="n">
        <x:f>ROUND((D145-C145)*1440,1)</x:f>
        <x:v>39.2</x:v>
      </x:c>
      <x:c r="I145" s="113" t="n">
        <x:f>ROUND((E145-C145)*1440,1)</x:f>
        <x:v>43.8</x:v>
      </x:c>
      <x:c r="J145" s="113" t="n">
        <x:f>IF(A145=A144,ROUND((C145-C144)*1440,1),0)</x:f>
        <x:v>0.3</x:v>
      </x:c>
      <x:c r="K145" s="76" t="str">
        <x:v>FrontDesk-01</x:v>
      </x:c>
      <x:c r="L145" s="113" t="n">
        <x:f>MAX(0,COUNTIFS($A$2:$A$401,A145,$C$2:$C$401,"&lt;"&amp;C145,$E$2:$E$401,"&gt;"&amp;C145)-1)</x:f>
        <x:v>9</x:v>
      </x:c>
      <x:c r="M145" s="113" t="n">
        <x:f>HOUR(C145)</x:f>
        <x:v>14</x:v>
      </x:c>
      <x:c r="N145" s="119" t="n">
        <x:f>ROUND((C145-A145-TIME(8,0,0))*1440,1)</x:f>
        <x:v>365.9</x:v>
      </x:c>
    </x:row>
    <x:row r="146" ht="18" customHeight="1">
      <x:c r="A146" s="101" t="n">
        <x:v>46133</x:v>
      </x:c>
      <x:c r="B146" s="76" t="str">
        <x:v>P0145</x:v>
      </x:c>
      <x:c r="C146" s="107" t="n">
        <x:v>46133.598009664354</x:v>
      </x:c>
      <x:c r="D146" s="107" t="n">
        <x:v>46133.617828344904</x:v>
      </x:c>
      <x:c r="E146" s="107" t="n">
        <x:v>46133.62213390046</x:v>
      </x:c>
      <x:c r="F146" s="76" t="str">
        <x:v>sample_submission</x:v>
      </x:c>
      <x:c r="G146" s="113" t="n">
        <x:f>ROUND((E146-D146)*1440,1)</x:f>
        <x:v>6.2</x:v>
      </x:c>
      <x:c r="H146" s="113" t="n">
        <x:f>ROUND((D146-C146)*1440,1)</x:f>
        <x:v>28.5</x:v>
      </x:c>
      <x:c r="I146" s="113" t="n">
        <x:f>ROUND((E146-C146)*1440,1)</x:f>
        <x:v>34.7</x:v>
      </x:c>
      <x:c r="J146" s="113" t="n">
        <x:f>IF(A146=A145,ROUND((C146-C145)*1440,1),0)</x:f>
        <x:v>15.3</x:v>
      </x:c>
      <x:c r="K146" s="76" t="str">
        <x:v>FrontDesk-01</x:v>
      </x:c>
      <x:c r="L146" s="113" t="n">
        <x:f>MAX(0,COUNTIFS($A$2:$A$401,A146,$C$2:$C$401,"&lt;"&amp;C146,$E$2:$E$401,"&gt;"&amp;C146)-1)</x:f>
        <x:v>6</x:v>
      </x:c>
      <x:c r="M146" s="113" t="n">
        <x:f>HOUR(C146)</x:f>
        <x:v>14</x:v>
      </x:c>
      <x:c r="N146" s="119" t="n">
        <x:f>ROUND((C146-A146-TIME(8,0,0))*1440,1)</x:f>
        <x:v>381.1</x:v>
      </x:c>
    </x:row>
    <x:row r="147" ht="18" customHeight="1">
      <x:c r="A147" s="101" t="n">
        <x:v>46133</x:v>
      </x:c>
      <x:c r="B147" s="76" t="str">
        <x:v>P0146</x:v>
      </x:c>
      <x:c r="C147" s="107" t="n">
        <x:v>46133.60488119213</x:v>
      </x:c>
      <x:c r="D147" s="107" t="n">
        <x:v>46133.62213390046</x:v>
      </x:c>
      <x:c r="E147" s="107" t="n">
        <x:v>46133.62331445602</x:v>
      </x:c>
      <x:c r="F147" s="76" t="str">
        <x:v>report_collection</x:v>
      </x:c>
      <x:c r="G147" s="113" t="n">
        <x:f>ROUND((E147-D147)*1440,1)</x:f>
        <x:v>1.7</x:v>
      </x:c>
      <x:c r="H147" s="113" t="n">
        <x:f>ROUND((D147-C147)*1440,1)</x:f>
        <x:v>24.8</x:v>
      </x:c>
      <x:c r="I147" s="113" t="n">
        <x:f>ROUND((E147-C147)*1440,1)</x:f>
        <x:v>26.5</x:v>
      </x:c>
      <x:c r="J147" s="113" t="n">
        <x:f>IF(A147=A146,ROUND((C147-C146)*1440,1),0)</x:f>
        <x:v>9.9</x:v>
      </x:c>
      <x:c r="K147" s="76" t="str">
        <x:v>FrontDesk-01</x:v>
      </x:c>
      <x:c r="L147" s="113" t="n">
        <x:f>MAX(0,COUNTIFS($A$2:$A$401,A147,$C$2:$C$401,"&lt;"&amp;C147,$E$2:$E$401,"&gt;"&amp;C147)-1)</x:f>
        <x:v>5</x:v>
      </x:c>
      <x:c r="M147" s="113" t="n">
        <x:f>HOUR(C147)</x:f>
        <x:v>14</x:v>
      </x:c>
      <x:c r="N147" s="119" t="n">
        <x:f>ROUND((C147-A147-TIME(8,0,0))*1440,1)</x:f>
        <x:v>391</x:v>
      </x:c>
    </x:row>
    <x:row r="148" ht="18" customHeight="1">
      <x:c r="A148" s="101" t="n">
        <x:v>46133</x:v>
      </x:c>
      <x:c r="B148" s="76" t="str">
        <x:v>P0147</x:v>
      </x:c>
      <x:c r="C148" s="107" t="n">
        <x:v>46133.609542453705</x:v>
      </x:c>
      <x:c r="D148" s="107" t="n">
        <x:v>46133.62331445602</x:v>
      </x:c>
      <x:c r="E148" s="107" t="n">
        <x:v>46133.625883900466</x:v>
      </x:c>
      <x:c r="F148" s="76" t="str">
        <x:v>report_collection</x:v>
      </x:c>
      <x:c r="G148" s="113" t="n">
        <x:f>ROUND((E148-D148)*1440,1)</x:f>
        <x:v>3.7</x:v>
      </x:c>
      <x:c r="H148" s="113" t="n">
        <x:f>ROUND((D148-C148)*1440,1)</x:f>
        <x:v>19.8</x:v>
      </x:c>
      <x:c r="I148" s="113" t="n">
        <x:f>ROUND((E148-C148)*1440,1)</x:f>
        <x:v>23.5</x:v>
      </x:c>
      <x:c r="J148" s="113" t="n">
        <x:f>IF(A148=A147,ROUND((C148-C147)*1440,1),0)</x:f>
        <x:v>6.7</x:v>
      </x:c>
      <x:c r="K148" s="76" t="str">
        <x:v>FrontDesk-01</x:v>
      </x:c>
      <x:c r="L148" s="113" t="n">
        <x:f>MAX(0,COUNTIFS($A$2:$A$401,A148,$C$2:$C$401,"&lt;"&amp;C148,$E$2:$E$401,"&gt;"&amp;C148)-1)</x:f>
        <x:v>4</x:v>
      </x:c>
      <x:c r="M148" s="113" t="n">
        <x:f>HOUR(C148)</x:f>
        <x:v>14</x:v>
      </x:c>
      <x:c r="N148" s="119" t="n">
        <x:f>ROUND((C148-A148-TIME(8,0,0))*1440,1)</x:f>
        <x:v>397.7</x:v>
      </x:c>
    </x:row>
    <x:row r="149" ht="18" customHeight="1">
      <x:c r="A149" s="101" t="n">
        <x:v>46133</x:v>
      </x:c>
      <x:c r="B149" s="76" t="str">
        <x:v>P0148</x:v>
      </x:c>
      <x:c r="C149" s="107" t="n">
        <x:v>46133.61205275463</x:v>
      </x:c>
      <x:c r="D149" s="107" t="n">
        <x:v>46133.625883900466</x:v>
      </x:c>
      <x:c r="E149" s="107" t="n">
        <x:v>46133.62963390046</x:v>
      </x:c>
      <x:c r="F149" s="76" t="str">
        <x:v>registration</x:v>
      </x:c>
      <x:c r="G149" s="113" t="n">
        <x:f>ROUND((E149-D149)*1440,1)</x:f>
        <x:v>5.4</x:v>
      </x:c>
      <x:c r="H149" s="113" t="n">
        <x:f>ROUND((D149-C149)*1440,1)</x:f>
        <x:v>19.9</x:v>
      </x:c>
      <x:c r="I149" s="113" t="n">
        <x:f>ROUND((E149-C149)*1440,1)</x:f>
        <x:v>25.3</x:v>
      </x:c>
      <x:c r="J149" s="113" t="n">
        <x:f>IF(A149=A148,ROUND((C149-C148)*1440,1),0)</x:f>
        <x:v>3.6</x:v>
      </x:c>
      <x:c r="K149" s="76" t="str">
        <x:v>FrontDesk-01</x:v>
      </x:c>
      <x:c r="L149" s="113" t="n">
        <x:f>MAX(0,COUNTIFS($A$2:$A$401,A149,$C$2:$C$401,"&lt;"&amp;C149,$E$2:$E$401,"&gt;"&amp;C149)-1)</x:f>
        <x:v>4</x:v>
      </x:c>
      <x:c r="M149" s="113" t="n">
        <x:f>HOUR(C149)</x:f>
        <x:v>14</x:v>
      </x:c>
      <x:c r="N149" s="119" t="n">
        <x:f>ROUND((C149-A149-TIME(8,0,0))*1440,1)</x:f>
        <x:v>401.4</x:v>
      </x:c>
    </x:row>
    <x:row r="150" ht="18" customHeight="1">
      <x:c r="A150" s="101" t="n">
        <x:v>46133</x:v>
      </x:c>
      <x:c r="B150" s="76" t="str">
        <x:v>P0149</x:v>
      </x:c>
      <x:c r="C150" s="107" t="n">
        <x:v>46133.61354039352</x:v>
      </x:c>
      <x:c r="D150" s="107" t="n">
        <x:v>46133.62963390046</x:v>
      </x:c>
      <x:c r="E150" s="107" t="n">
        <x:v>46133.63032834491</x:v>
      </x:c>
      <x:c r="F150" s="76" t="str">
        <x:v>report_collection</x:v>
      </x:c>
      <x:c r="G150" s="113" t="n">
        <x:f>ROUND((E150-D150)*1440,1)</x:f>
        <x:v>1</x:v>
      </x:c>
      <x:c r="H150" s="113" t="n">
        <x:f>ROUND((D150-C150)*1440,1)</x:f>
        <x:v>23.2</x:v>
      </x:c>
      <x:c r="I150" s="113" t="n">
        <x:f>ROUND((E150-C150)*1440,1)</x:f>
        <x:v>24.2</x:v>
      </x:c>
      <x:c r="J150" s="113" t="n">
        <x:f>IF(A150=A149,ROUND((C150-C149)*1440,1),0)</x:f>
        <x:v>2.1</x:v>
      </x:c>
      <x:c r="K150" s="76" t="str">
        <x:v>FrontDesk-01</x:v>
      </x:c>
      <x:c r="L150" s="113" t="n">
        <x:f>MAX(0,COUNTIFS($A$2:$A$401,A150,$C$2:$C$401,"&lt;"&amp;C150,$E$2:$E$401,"&gt;"&amp;C150)-1)</x:f>
        <x:v>5</x:v>
      </x:c>
      <x:c r="M150" s="113" t="n">
        <x:f>HOUR(C150)</x:f>
        <x:v>14</x:v>
      </x:c>
      <x:c r="N150" s="119" t="n">
        <x:f>ROUND((C150-A150-TIME(8,0,0))*1440,1)</x:f>
        <x:v>403.5</x:v>
      </x:c>
    </x:row>
    <x:row r="151" ht="18" customHeight="1">
      <x:c r="A151" s="101" t="n">
        <x:v>46133</x:v>
      </x:c>
      <x:c r="B151" s="76" t="str">
        <x:v>P0150</x:v>
      </x:c>
      <x:c r="C151" s="107" t="n">
        <x:v>46133.63044943287</x:v>
      </x:c>
      <x:c r="D151" s="107" t="n">
        <x:v>46133.63044943287</x:v>
      </x:c>
      <x:c r="E151" s="107" t="n">
        <x:v>46133.63176887731</x:v>
      </x:c>
      <x:c r="F151" s="76" t="str">
        <x:v>report_collection</x:v>
      </x:c>
      <x:c r="G151" s="113" t="n">
        <x:f>ROUND((E151-D151)*1440,1)</x:f>
        <x:v>1.9</x:v>
      </x:c>
      <x:c r="H151" s="113" t="n">
        <x:f>ROUND((D151-C151)*1440,1)</x:f>
        <x:v>0</x:v>
      </x:c>
      <x:c r="I151" s="113" t="n">
        <x:f>ROUND((E151-C151)*1440,1)</x:f>
        <x:v>1.9</x:v>
      </x:c>
      <x:c r="J151" s="113" t="n">
        <x:f>IF(A151=A150,ROUND((C151-C150)*1440,1),0)</x:f>
        <x:v>24.3</x:v>
      </x:c>
      <x:c r="K151" s="76" t="str">
        <x:v>FrontDesk-01</x:v>
      </x:c>
      <x:c r="L151" s="113" t="n">
        <x:f>MAX(0,COUNTIFS($A$2:$A$401,A151,$C$2:$C$401,"&lt;"&amp;C151,$E$2:$E$401,"&gt;"&amp;C151)-1)</x:f>
        <x:v>0</x:v>
      </x:c>
      <x:c r="M151" s="113" t="n">
        <x:f>HOUR(C151)</x:f>
        <x:v>15</x:v>
      </x:c>
      <x:c r="N151" s="119" t="n">
        <x:f>ROUND((C151-A151-TIME(8,0,0))*1440,1)</x:f>
        <x:v>427.8</x:v>
      </x:c>
    </x:row>
    <x:row r="152" ht="18" customHeight="1">
      <x:c r="A152" s="101" t="n">
        <x:v>46133</x:v>
      </x:c>
      <x:c r="B152" s="76" t="str">
        <x:v>P0151</x:v>
      </x:c>
      <x:c r="C152" s="107" t="n">
        <x:v>46133.63852128472</x:v>
      </x:c>
      <x:c r="D152" s="107" t="n">
        <x:v>46133.63852128472</x:v>
      </x:c>
      <x:c r="E152" s="107" t="n">
        <x:v>46133.64164628472</x:v>
      </x:c>
      <x:c r="F152" s="76" t="str">
        <x:v>report_collection</x:v>
      </x:c>
      <x:c r="G152" s="113" t="n">
        <x:f>ROUND((E152-D152)*1440,1)</x:f>
        <x:v>4.5</x:v>
      </x:c>
      <x:c r="H152" s="113" t="n">
        <x:f>ROUND((D152-C152)*1440,1)</x:f>
        <x:v>0</x:v>
      </x:c>
      <x:c r="I152" s="113" t="n">
        <x:f>ROUND((E152-C152)*1440,1)</x:f>
        <x:v>4.5</x:v>
      </x:c>
      <x:c r="J152" s="113" t="n">
        <x:f>IF(A152=A151,ROUND((C152-C151)*1440,1),0)</x:f>
        <x:v>11.6</x:v>
      </x:c>
      <x:c r="K152" s="76" t="str">
        <x:v>FrontDesk-01</x:v>
      </x:c>
      <x:c r="L152" s="113" t="n">
        <x:f>MAX(0,COUNTIFS($A$2:$A$401,A152,$C$2:$C$401,"&lt;"&amp;C152,$E$2:$E$401,"&gt;"&amp;C152)-1)</x:f>
        <x:v>0</x:v>
      </x:c>
      <x:c r="M152" s="113" t="n">
        <x:f>HOUR(C152)</x:f>
        <x:v>15</x:v>
      </x:c>
      <x:c r="N152" s="119" t="n">
        <x:f>ROUND((C152-A152-TIME(8,0,0))*1440,1)</x:f>
        <x:v>439.5</x:v>
      </x:c>
    </x:row>
    <x:row r="153" ht="18" customHeight="1">
      <x:c r="A153" s="101" t="n">
        <x:v>46133</x:v>
      </x:c>
      <x:c r="B153" s="76" t="str">
        <x:v>P0152</x:v>
      </x:c>
      <x:c r="C153" s="107" t="n">
        <x:v>46133.639044710646</x:v>
      </x:c>
      <x:c r="D153" s="107" t="n">
        <x:v>46133.64164628472</x:v>
      </x:c>
      <x:c r="E153" s="107" t="n">
        <x:v>46133.64359072917</x:v>
      </x:c>
      <x:c r="F153" s="76" t="str">
        <x:v>registration</x:v>
      </x:c>
      <x:c r="G153" s="113" t="n">
        <x:f>ROUND((E153-D153)*1440,1)</x:f>
        <x:v>2.8</x:v>
      </x:c>
      <x:c r="H153" s="113" t="n">
        <x:f>ROUND((D153-C153)*1440,1)</x:f>
        <x:v>3.7</x:v>
      </x:c>
      <x:c r="I153" s="113" t="n">
        <x:f>ROUND((E153-C153)*1440,1)</x:f>
        <x:v>6.5</x:v>
      </x:c>
      <x:c r="J153" s="113" t="n">
        <x:f>IF(A153=A152,ROUND((C153-C152)*1440,1),0)</x:f>
        <x:v>0.8</x:v>
      </x:c>
      <x:c r="K153" s="76" t="str">
        <x:v>FrontDesk-01</x:v>
      </x:c>
      <x:c r="L153" s="113" t="n">
        <x:f>MAX(0,COUNTIFS($A$2:$A$401,A153,$C$2:$C$401,"&lt;"&amp;C153,$E$2:$E$401,"&gt;"&amp;C153)-1)</x:f>
        <x:v>0</x:v>
      </x:c>
      <x:c r="M153" s="113" t="n">
        <x:f>HOUR(C153)</x:f>
        <x:v>15</x:v>
      </x:c>
      <x:c r="N153" s="119" t="n">
        <x:f>ROUND((C153-A153-TIME(8,0,0))*1440,1)</x:f>
        <x:v>440.2</x:v>
      </x:c>
    </x:row>
    <x:row r="154" ht="18" customHeight="1">
      <x:c r="A154" s="101" t="n">
        <x:v>46133</x:v>
      </x:c>
      <x:c r="B154" s="76" t="str">
        <x:v>P0153</x:v>
      </x:c>
      <x:c r="C154" s="107" t="n">
        <x:v>46133.63972328704</x:v>
      </x:c>
      <x:c r="D154" s="107" t="n">
        <x:v>46133.64359072917</x:v>
      </x:c>
      <x:c r="E154" s="107" t="n">
        <x:v>46133.64657684028</x:v>
      </x:c>
      <x:c r="F154" s="76" t="str">
        <x:v>registration</x:v>
      </x:c>
      <x:c r="G154" s="113" t="n">
        <x:f>ROUND((E154-D154)*1440,1)</x:f>
        <x:v>4.3</x:v>
      </x:c>
      <x:c r="H154" s="113" t="n">
        <x:f>ROUND((D154-C154)*1440,1)</x:f>
        <x:v>5.6</x:v>
      </x:c>
      <x:c r="I154" s="113" t="n">
        <x:f>ROUND((E154-C154)*1440,1)</x:f>
        <x:v>9.9</x:v>
      </x:c>
      <x:c r="J154" s="113" t="n">
        <x:f>IF(A154=A153,ROUND((C154-C153)*1440,1),0)</x:f>
        <x:v>1</x:v>
      </x:c>
      <x:c r="K154" s="76" t="str">
        <x:v>FrontDesk-01</x:v>
      </x:c>
      <x:c r="L154" s="113" t="n">
        <x:f>MAX(0,COUNTIFS($A$2:$A$401,A154,$C$2:$C$401,"&lt;"&amp;C154,$E$2:$E$401,"&gt;"&amp;C154)-1)</x:f>
        <x:v>1</x:v>
      </x:c>
      <x:c r="M154" s="113" t="n">
        <x:f>HOUR(C154)</x:f>
        <x:v>15</x:v>
      </x:c>
      <x:c r="N154" s="119" t="n">
        <x:f>ROUND((C154-A154-TIME(8,0,0))*1440,1)</x:f>
        <x:v>441.2</x:v>
      </x:c>
    </x:row>
    <x:row r="155" ht="18" customHeight="1">
      <x:c r="A155" s="101" t="n">
        <x:v>46133</x:v>
      </x:c>
      <x:c r="B155" s="76" t="str">
        <x:v>P0154</x:v>
      </x:c>
      <x:c r="C155" s="107" t="n">
        <x:v>46133.644834976854</x:v>
      </x:c>
      <x:c r="D155" s="107" t="n">
        <x:v>46133.64657684028</x:v>
      </x:c>
      <x:c r="E155" s="107" t="n">
        <x:v>46133.648104618056</x:v>
      </x:c>
      <x:c r="F155" s="76" t="str">
        <x:v>report_collection</x:v>
      </x:c>
      <x:c r="G155" s="113" t="n">
        <x:f>ROUND((E155-D155)*1440,1)</x:f>
        <x:v>2.2</x:v>
      </x:c>
      <x:c r="H155" s="113" t="n">
        <x:f>ROUND((D155-C155)*1440,1)</x:f>
        <x:v>2.5</x:v>
      </x:c>
      <x:c r="I155" s="113" t="n">
        <x:f>ROUND((E155-C155)*1440,1)</x:f>
        <x:v>4.7</x:v>
      </x:c>
      <x:c r="J155" s="113" t="n">
        <x:f>IF(A155=A154,ROUND((C155-C154)*1440,1),0)</x:f>
        <x:v>7.4</x:v>
      </x:c>
      <x:c r="K155" s="76" t="str">
        <x:v>FrontDesk-01</x:v>
      </x:c>
      <x:c r="L155" s="113" t="n">
        <x:f>MAX(0,COUNTIFS($A$2:$A$401,A155,$C$2:$C$401,"&lt;"&amp;C155,$E$2:$E$401,"&gt;"&amp;C155)-1)</x:f>
        <x:v>0</x:v>
      </x:c>
      <x:c r="M155" s="113" t="n">
        <x:f>HOUR(C155)</x:f>
        <x:v>15</x:v>
      </x:c>
      <x:c r="N155" s="119" t="n">
        <x:f>ROUND((C155-A155-TIME(8,0,0))*1440,1)</x:f>
        <x:v>448.6</x:v>
      </x:c>
    </x:row>
    <x:row r="156" ht="18" customHeight="1">
      <x:c r="A156" s="101" t="n">
        <x:v>46133</x:v>
      </x:c>
      <x:c r="B156" s="76" t="str">
        <x:v>P0155</x:v>
      </x:c>
      <x:c r="C156" s="107" t="n">
        <x:v>46133.64696362268</x:v>
      </x:c>
      <x:c r="D156" s="107" t="n">
        <x:v>46133.648104618056</x:v>
      </x:c>
      <x:c r="E156" s="107" t="n">
        <x:v>46133.652410173614</x:v>
      </x:c>
      <x:c r="F156" s="76" t="str">
        <x:v>sample_submission</x:v>
      </x:c>
      <x:c r="G156" s="113" t="n">
        <x:f>ROUND((E156-D156)*1440,1)</x:f>
        <x:v>6.2</x:v>
      </x:c>
      <x:c r="H156" s="113" t="n">
        <x:f>ROUND((D156-C156)*1440,1)</x:f>
        <x:v>1.6</x:v>
      </x:c>
      <x:c r="I156" s="113" t="n">
        <x:f>ROUND((E156-C156)*1440,1)</x:f>
        <x:v>7.8</x:v>
      </x:c>
      <x:c r="J156" s="113" t="n">
        <x:f>IF(A156=A155,ROUND((C156-C155)*1440,1),0)</x:f>
        <x:v>3.1</x:v>
      </x:c>
      <x:c r="K156" s="76" t="str">
        <x:v>FrontDesk-01</x:v>
      </x:c>
      <x:c r="L156" s="113" t="n">
        <x:f>MAX(0,COUNTIFS($A$2:$A$401,A156,$C$2:$C$401,"&lt;"&amp;C156,$E$2:$E$401,"&gt;"&amp;C156)-1)</x:f>
        <x:v>0</x:v>
      </x:c>
      <x:c r="M156" s="113" t="n">
        <x:f>HOUR(C156)</x:f>
        <x:v>15</x:v>
      </x:c>
      <x:c r="N156" s="119" t="n">
        <x:f>ROUND((C156-A156-TIME(8,0,0))*1440,1)</x:f>
        <x:v>451.6</x:v>
      </x:c>
    </x:row>
    <x:row r="157" ht="18" customHeight="1">
      <x:c r="A157" s="101" t="n">
        <x:v>46133</x:v>
      </x:c>
      <x:c r="B157" s="76" t="str">
        <x:v>P0156</x:v>
      </x:c>
      <x:c r="C157" s="107" t="n">
        <x:v>46133.651665729165</x:v>
      </x:c>
      <x:c r="D157" s="107" t="n">
        <x:v>46133.652410173614</x:v>
      </x:c>
      <x:c r="E157" s="107" t="n">
        <x:v>46133.65463239583</x:v>
      </x:c>
      <x:c r="F157" s="76" t="str">
        <x:v>registration</x:v>
      </x:c>
      <x:c r="G157" s="113" t="n">
        <x:f>ROUND((E157-D157)*1440,1)</x:f>
        <x:v>3.2</x:v>
      </x:c>
      <x:c r="H157" s="113" t="n">
        <x:f>ROUND((D157-C157)*1440,1)</x:f>
        <x:v>1.1</x:v>
      </x:c>
      <x:c r="I157" s="113" t="n">
        <x:f>ROUND((E157-C157)*1440,1)</x:f>
        <x:v>4.3</x:v>
      </x:c>
      <x:c r="J157" s="113" t="n">
        <x:f>IF(A157=A156,ROUND((C157-C156)*1440,1),0)</x:f>
        <x:v>6.8</x:v>
      </x:c>
      <x:c r="K157" s="76" t="str">
        <x:v>FrontDesk-01</x:v>
      </x:c>
      <x:c r="L157" s="113" t="n">
        <x:f>MAX(0,COUNTIFS($A$2:$A$401,A157,$C$2:$C$401,"&lt;"&amp;C157,$E$2:$E$401,"&gt;"&amp;C157)-1)</x:f>
        <x:v>0</x:v>
      </x:c>
      <x:c r="M157" s="113" t="n">
        <x:f>HOUR(C157)</x:f>
        <x:v>15</x:v>
      </x:c>
      <x:c r="N157" s="119" t="n">
        <x:f>ROUND((C157-A157-TIME(8,0,0))*1440,1)</x:f>
        <x:v>458.4</x:v>
      </x:c>
    </x:row>
    <x:row r="158" ht="18" customHeight="1">
      <x:c r="A158" s="101" t="n">
        <x:v>46133</x:v>
      </x:c>
      <x:c r="B158" s="76" t="str">
        <x:v>P0157</x:v>
      </x:c>
      <x:c r="C158" s="107" t="n">
        <x:v>46133.65361637731</x:v>
      </x:c>
      <x:c r="D158" s="107" t="n">
        <x:v>46133.65463239583</x:v>
      </x:c>
      <x:c r="E158" s="107" t="n">
        <x:v>46133.65685461806</x:v>
      </x:c>
      <x:c r="F158" s="76" t="str">
        <x:v>billing_payment</x:v>
      </x:c>
      <x:c r="G158" s="113" t="n">
        <x:f>ROUND((E158-D158)*1440,1)</x:f>
        <x:v>3.2</x:v>
      </x:c>
      <x:c r="H158" s="113" t="n">
        <x:f>ROUND((D158-C158)*1440,1)</x:f>
        <x:v>1.5</x:v>
      </x:c>
      <x:c r="I158" s="113" t="n">
        <x:f>ROUND((E158-C158)*1440,1)</x:f>
        <x:v>4.7</x:v>
      </x:c>
      <x:c r="J158" s="113" t="n">
        <x:f>IF(A158=A157,ROUND((C158-C157)*1440,1),0)</x:f>
        <x:v>2.8</x:v>
      </x:c>
      <x:c r="K158" s="76" t="str">
        <x:v>FrontDesk-01</x:v>
      </x:c>
      <x:c r="L158" s="113" t="n">
        <x:f>MAX(0,COUNTIFS($A$2:$A$401,A158,$C$2:$C$401,"&lt;"&amp;C158,$E$2:$E$401,"&gt;"&amp;C158)-1)</x:f>
        <x:v>0</x:v>
      </x:c>
      <x:c r="M158" s="113" t="n">
        <x:f>HOUR(C158)</x:f>
        <x:v>15</x:v>
      </x:c>
      <x:c r="N158" s="119" t="n">
        <x:f>ROUND((C158-A158-TIME(8,0,0))*1440,1)</x:f>
        <x:v>461.2</x:v>
      </x:c>
    </x:row>
    <x:row r="159" ht="18" customHeight="1">
      <x:c r="A159" s="101" t="n">
        <x:v>46133</x:v>
      </x:c>
      <x:c r="B159" s="76" t="str">
        <x:v>P0158</x:v>
      </x:c>
      <x:c r="C159" s="107" t="n">
        <x:v>46133.65369827546</x:v>
      </x:c>
      <x:c r="D159" s="107" t="n">
        <x:v>46133.65685461806</x:v>
      </x:c>
      <x:c r="E159" s="107" t="n">
        <x:v>46133.65782684028</x:v>
      </x:c>
      <x:c r="F159" s="76" t="str">
        <x:v>report_collection</x:v>
      </x:c>
      <x:c r="G159" s="113" t="n">
        <x:f>ROUND((E159-D159)*1440,1)</x:f>
        <x:v>1.4</x:v>
      </x:c>
      <x:c r="H159" s="113" t="n">
        <x:f>ROUND((D159-C159)*1440,1)</x:f>
        <x:v>4.5</x:v>
      </x:c>
      <x:c r="I159" s="113" t="n">
        <x:f>ROUND((E159-C159)*1440,1)</x:f>
        <x:v>5.9</x:v>
      </x:c>
      <x:c r="J159" s="113" t="n">
        <x:f>IF(A159=A158,ROUND((C159-C158)*1440,1),0)</x:f>
        <x:v>0.1</x:v>
      </x:c>
      <x:c r="K159" s="76" t="str">
        <x:v>FrontDesk-01</x:v>
      </x:c>
      <x:c r="L159" s="113" t="n">
        <x:f>MAX(0,COUNTIFS($A$2:$A$401,A159,$C$2:$C$401,"&lt;"&amp;C159,$E$2:$E$401,"&gt;"&amp;C159)-1)</x:f>
        <x:v>1</x:v>
      </x:c>
      <x:c r="M159" s="113" t="n">
        <x:f>HOUR(C159)</x:f>
        <x:v>15</x:v>
      </x:c>
      <x:c r="N159" s="119" t="n">
        <x:f>ROUND((C159-A159-TIME(8,0,0))*1440,1)</x:f>
        <x:v>461.3</x:v>
      </x:c>
    </x:row>
    <x:row r="160" ht="18" customHeight="1">
      <x:c r="A160" s="101" t="n">
        <x:v>46133</x:v>
      </x:c>
      <x:c r="B160" s="76" t="str">
        <x:v>P0159</x:v>
      </x:c>
      <x:c r="C160" s="107" t="n">
        <x:v>46133.657649270834</x:v>
      </x:c>
      <x:c r="D160" s="107" t="n">
        <x:v>46133.65782684028</x:v>
      </x:c>
      <x:c r="E160" s="107" t="n">
        <x:v>46133.66143795139</x:v>
      </x:c>
      <x:c r="F160" s="76" t="str">
        <x:v>billing_payment</x:v>
      </x:c>
      <x:c r="G160" s="113" t="n">
        <x:f>ROUND((E160-D160)*1440,1)</x:f>
        <x:v>5.2</x:v>
      </x:c>
      <x:c r="H160" s="113" t="n">
        <x:f>ROUND((D160-C160)*1440,1)</x:f>
        <x:v>0.3</x:v>
      </x:c>
      <x:c r="I160" s="113" t="n">
        <x:f>ROUND((E160-C160)*1440,1)</x:f>
        <x:v>5.5</x:v>
      </x:c>
      <x:c r="J160" s="113" t="n">
        <x:f>IF(A160=A159,ROUND((C160-C159)*1440,1),0)</x:f>
        <x:v>5.7</x:v>
      </x:c>
      <x:c r="K160" s="76" t="str">
        <x:v>FrontDesk-01</x:v>
      </x:c>
      <x:c r="L160" s="113" t="n">
        <x:f>MAX(0,COUNTIFS($A$2:$A$401,A160,$C$2:$C$401,"&lt;"&amp;C160,$E$2:$E$401,"&gt;"&amp;C160)-1)</x:f>
        <x:v>0</x:v>
      </x:c>
      <x:c r="M160" s="113" t="n">
        <x:f>HOUR(C160)</x:f>
        <x:v>15</x:v>
      </x:c>
      <x:c r="N160" s="119" t="n">
        <x:f>ROUND((C160-A160-TIME(8,0,0))*1440,1)</x:f>
        <x:v>467</x:v>
      </x:c>
    </x:row>
    <x:row r="161" ht="18" customHeight="1">
      <x:c r="A161" s="101" t="n">
        <x:v>46134</x:v>
      </x:c>
      <x:c r="B161" s="76" t="str">
        <x:v>P0160</x:v>
      </x:c>
      <x:c r="C161" s="107" t="n">
        <x:v>46134.34594908565</x:v>
      </x:c>
      <x:c r="D161" s="107" t="n">
        <x:v>46134.34594908565</x:v>
      </x:c>
      <x:c r="E161" s="107" t="n">
        <x:v>46134.34969908565</x:v>
      </x:c>
      <x:c r="F161" s="76" t="str">
        <x:v>registration</x:v>
      </x:c>
      <x:c r="G161" s="113" t="n">
        <x:f>ROUND((E161-D161)*1440,1)</x:f>
        <x:v>5.4</x:v>
      </x:c>
      <x:c r="H161" s="113" t="n">
        <x:f>ROUND((D161-C161)*1440,1)</x:f>
        <x:v>0</x:v>
      </x:c>
      <x:c r="I161" s="113" t="n">
        <x:f>ROUND((E161-C161)*1440,1)</x:f>
        <x:v>5.4</x:v>
      </x:c>
      <x:c r="J161" s="113" t="n">
        <x:f>IF(A161=A160,ROUND((C161-C160)*1440,1),0)</x:f>
        <x:v>0</x:v>
      </x:c>
      <x:c r="K161" s="76" t="str">
        <x:v>FrontDesk-01</x:v>
      </x:c>
      <x:c r="L161" s="113" t="n">
        <x:f>MAX(0,COUNTIFS($A$2:$A$401,A161,$C$2:$C$401,"&lt;"&amp;C161,$E$2:$E$401,"&gt;"&amp;C161)-1)</x:f>
        <x:v>0</x:v>
      </x:c>
      <x:c r="M161" s="113" t="n">
        <x:f>HOUR(C161)</x:f>
        <x:v>8</x:v>
      </x:c>
      <x:c r="N161" s="119" t="n">
        <x:f>ROUND((C161-A161-TIME(8,0,0))*1440,1)</x:f>
        <x:v>18.2</x:v>
      </x:c>
    </x:row>
    <x:row r="162" ht="18" customHeight="1">
      <x:c r="A162" s="101" t="n">
        <x:v>46134</x:v>
      </x:c>
      <x:c r="B162" s="76" t="str">
        <x:v>P0161</x:v>
      </x:c>
      <x:c r="C162" s="107" t="n">
        <x:v>46134.3468590162</x:v>
      </x:c>
      <x:c r="D162" s="107" t="n">
        <x:v>46134.34969908565</x:v>
      </x:c>
      <x:c r="E162" s="107" t="n">
        <x:v>46134.35226853009</x:v>
      </x:c>
      <x:c r="F162" s="76" t="str">
        <x:v>registration</x:v>
      </x:c>
      <x:c r="G162" s="113" t="n">
        <x:f>ROUND((E162-D162)*1440,1)</x:f>
        <x:v>3.7</x:v>
      </x:c>
      <x:c r="H162" s="113" t="n">
        <x:f>ROUND((D162-C162)*1440,1)</x:f>
        <x:v>4.1</x:v>
      </x:c>
      <x:c r="I162" s="113" t="n">
        <x:f>ROUND((E162-C162)*1440,1)</x:f>
        <x:v>7.8</x:v>
      </x:c>
      <x:c r="J162" s="113" t="n">
        <x:f>IF(A162=A161,ROUND((C162-C161)*1440,1),0)</x:f>
        <x:v>1.3</x:v>
      </x:c>
      <x:c r="K162" s="76" t="str">
        <x:v>FrontDesk-01</x:v>
      </x:c>
      <x:c r="L162" s="113" t="n">
        <x:f>MAX(0,COUNTIFS($A$2:$A$401,A162,$C$2:$C$401,"&lt;"&amp;C162,$E$2:$E$401,"&gt;"&amp;C162)-1)</x:f>
        <x:v>0</x:v>
      </x:c>
      <x:c r="M162" s="113" t="n">
        <x:f>HOUR(C162)</x:f>
        <x:v>8</x:v>
      </x:c>
      <x:c r="N162" s="119" t="n">
        <x:f>ROUND((C162-A162-TIME(8,0,0))*1440,1)</x:f>
        <x:v>19.5</x:v>
      </x:c>
    </x:row>
    <x:row r="163" ht="18" customHeight="1">
      <x:c r="A163" s="101" t="n">
        <x:v>46134</x:v>
      </x:c>
      <x:c r="B163" s="76" t="str">
        <x:v>P0162</x:v>
      </x:c>
      <x:c r="C163" s="107" t="n">
        <x:v>46134.34965546296</x:v>
      </x:c>
      <x:c r="D163" s="107" t="n">
        <x:v>46134.35226853009</x:v>
      </x:c>
      <x:c r="E163" s="107" t="n">
        <x:v>46134.357962974536</x:v>
      </x:c>
      <x:c r="F163" s="76" t="str">
        <x:v>sample_submission</x:v>
      </x:c>
      <x:c r="G163" s="113" t="n">
        <x:f>ROUND((E163-D163)*1440,1)</x:f>
        <x:v>8.2</x:v>
      </x:c>
      <x:c r="H163" s="113" t="n">
        <x:f>ROUND((D163-C163)*1440,1)</x:f>
        <x:v>3.8</x:v>
      </x:c>
      <x:c r="I163" s="113" t="n">
        <x:f>ROUND((E163-C163)*1440,1)</x:f>
        <x:v>12</x:v>
      </x:c>
      <x:c r="J163" s="113" t="n">
        <x:f>IF(A163=A162,ROUND((C163-C162)*1440,1),0)</x:f>
        <x:v>4</x:v>
      </x:c>
      <x:c r="K163" s="76" t="str">
        <x:v>FrontDesk-01</x:v>
      </x:c>
      <x:c r="L163" s="113" t="n">
        <x:f>MAX(0,COUNTIFS($A$2:$A$401,A163,$C$2:$C$401,"&lt;"&amp;C163,$E$2:$E$401,"&gt;"&amp;C163)-1)</x:f>
        <x:v>1</x:v>
      </x:c>
      <x:c r="M163" s="113" t="n">
        <x:f>HOUR(C163)</x:f>
        <x:v>8</x:v>
      </x:c>
      <x:c r="N163" s="119" t="n">
        <x:f>ROUND((C163-A163-TIME(8,0,0))*1440,1)</x:f>
        <x:v>23.5</x:v>
      </x:c>
    </x:row>
    <x:row r="164" ht="18" customHeight="1">
      <x:c r="A164" s="101" t="n">
        <x:v>46134</x:v>
      </x:c>
      <x:c r="B164" s="76" t="str">
        <x:v>P0163</x:v>
      </x:c>
      <x:c r="C164" s="107" t="n">
        <x:v>46134.35262075232</x:v>
      </x:c>
      <x:c r="D164" s="107" t="n">
        <x:v>46134.357962974536</x:v>
      </x:c>
      <x:c r="E164" s="107" t="n">
        <x:v>46134.35997686342</x:v>
      </x:c>
      <x:c r="F164" s="76" t="str">
        <x:v>registration</x:v>
      </x:c>
      <x:c r="G164" s="113" t="n">
        <x:f>ROUND((E164-D164)*1440,1)</x:f>
        <x:v>2.9</x:v>
      </x:c>
      <x:c r="H164" s="113" t="n">
        <x:f>ROUND((D164-C164)*1440,1)</x:f>
        <x:v>7.7</x:v>
      </x:c>
      <x:c r="I164" s="113" t="n">
        <x:f>ROUND((E164-C164)*1440,1)</x:f>
        <x:v>10.6</x:v>
      </x:c>
      <x:c r="J164" s="113" t="n">
        <x:f>IF(A164=A163,ROUND((C164-C163)*1440,1),0)</x:f>
        <x:v>4.3</x:v>
      </x:c>
      <x:c r="K164" s="76" t="str">
        <x:v>FrontDesk-01</x:v>
      </x:c>
      <x:c r="L164" s="113" t="n">
        <x:f>MAX(0,COUNTIFS($A$2:$A$401,A164,$C$2:$C$401,"&lt;"&amp;C164,$E$2:$E$401,"&gt;"&amp;C164)-1)</x:f>
        <x:v>0</x:v>
      </x:c>
      <x:c r="M164" s="113" t="n">
        <x:f>HOUR(C164)</x:f>
        <x:v>8</x:v>
      </x:c>
      <x:c r="N164" s="119" t="n">
        <x:f>ROUND((C164-A164-TIME(8,0,0))*1440,1)</x:f>
        <x:v>27.8</x:v>
      </x:c>
    </x:row>
    <x:row r="165" ht="18" customHeight="1">
      <x:c r="A165" s="101" t="n">
        <x:v>46134</x:v>
      </x:c>
      <x:c r="B165" s="76" t="str">
        <x:v>P0164</x:v>
      </x:c>
      <x:c r="C165" s="107" t="n">
        <x:v>46134.3543471875</x:v>
      </x:c>
      <x:c r="D165" s="107" t="n">
        <x:v>46134.35997686342</x:v>
      </x:c>
      <x:c r="E165" s="107" t="n">
        <x:v>46134.36081019676</x:v>
      </x:c>
      <x:c r="F165" s="76" t="str">
        <x:v>inquiry</x:v>
      </x:c>
      <x:c r="G165" s="113" t="n">
        <x:f>ROUND((E165-D165)*1440,1)</x:f>
        <x:v>1.2</x:v>
      </x:c>
      <x:c r="H165" s="113" t="n">
        <x:f>ROUND((D165-C165)*1440,1)</x:f>
        <x:v>8.1</x:v>
      </x:c>
      <x:c r="I165" s="113" t="n">
        <x:f>ROUND((E165-C165)*1440,1)</x:f>
        <x:v>9.3</x:v>
      </x:c>
      <x:c r="J165" s="113" t="n">
        <x:f>IF(A165=A164,ROUND((C165-C164)*1440,1),0)</x:f>
        <x:v>2.5</x:v>
      </x:c>
      <x:c r="K165" s="76" t="str">
        <x:v>FrontDesk-01</x:v>
      </x:c>
      <x:c r="L165" s="113" t="n">
        <x:f>MAX(0,COUNTIFS($A$2:$A$401,A165,$C$2:$C$401,"&lt;"&amp;C165,$E$2:$E$401,"&gt;"&amp;C165)-1)</x:f>
        <x:v>1</x:v>
      </x:c>
      <x:c r="M165" s="113" t="n">
        <x:f>HOUR(C165)</x:f>
        <x:v>8</x:v>
      </x:c>
      <x:c r="N165" s="119" t="n">
        <x:f>ROUND((C165-A165-TIME(8,0,0))*1440,1)</x:f>
        <x:v>30.3</x:v>
      </x:c>
    </x:row>
    <x:row r="166" ht="18" customHeight="1">
      <x:c r="A166" s="101" t="n">
        <x:v>46134</x:v>
      </x:c>
      <x:c r="B166" s="76" t="str">
        <x:v>P0165</x:v>
      </x:c>
      <x:c r="C166" s="107" t="n">
        <x:v>46134.354382523146</x:v>
      </x:c>
      <x:c r="D166" s="107" t="n">
        <x:v>46134.36081019676</x:v>
      </x:c>
      <x:c r="E166" s="107" t="n">
        <x:v>46134.36282408565</x:v>
      </x:c>
      <x:c r="F166" s="76" t="str">
        <x:v>registration</x:v>
      </x:c>
      <x:c r="G166" s="113" t="n">
        <x:f>ROUND((E166-D166)*1440,1)</x:f>
        <x:v>2.9</x:v>
      </x:c>
      <x:c r="H166" s="113" t="n">
        <x:f>ROUND((D166-C166)*1440,1)</x:f>
        <x:v>9.3</x:v>
      </x:c>
      <x:c r="I166" s="113" t="n">
        <x:f>ROUND((E166-C166)*1440,1)</x:f>
        <x:v>12.2</x:v>
      </x:c>
      <x:c r="J166" s="113" t="n">
        <x:f>IF(A166=A165,ROUND((C166-C165)*1440,1),0)</x:f>
        <x:v>0.1</x:v>
      </x:c>
      <x:c r="K166" s="76" t="str">
        <x:v>FrontDesk-01</x:v>
      </x:c>
      <x:c r="L166" s="113" t="n">
        <x:f>MAX(0,COUNTIFS($A$2:$A$401,A166,$C$2:$C$401,"&lt;"&amp;C166,$E$2:$E$401,"&gt;"&amp;C166)-1)</x:f>
        <x:v>2</x:v>
      </x:c>
      <x:c r="M166" s="113" t="n">
        <x:f>HOUR(C166)</x:f>
        <x:v>8</x:v>
      </x:c>
      <x:c r="N166" s="119" t="n">
        <x:f>ROUND((C166-A166-TIME(8,0,0))*1440,1)</x:f>
        <x:v>30.3</x:v>
      </x:c>
    </x:row>
    <x:row r="167" ht="18" customHeight="1">
      <x:c r="A167" s="101" t="n">
        <x:v>46134</x:v>
      </x:c>
      <x:c r="B167" s="76" t="str">
        <x:v>P0166</x:v>
      </x:c>
      <x:c r="C167" s="107" t="n">
        <x:v>46134.358545219904</x:v>
      </x:c>
      <x:c r="D167" s="107" t="n">
        <x:v>46134.36282408565</x:v>
      </x:c>
      <x:c r="E167" s="107" t="n">
        <x:v>46134.365879641206</x:v>
      </x:c>
      <x:c r="F167" s="76" t="str">
        <x:v>sample_submission</x:v>
      </x:c>
      <x:c r="G167" s="113" t="n">
        <x:f>ROUND((E167-D167)*1440,1)</x:f>
        <x:v>4.4</x:v>
      </x:c>
      <x:c r="H167" s="113" t="n">
        <x:f>ROUND((D167-C167)*1440,1)</x:f>
        <x:v>6.2</x:v>
      </x:c>
      <x:c r="I167" s="113" t="n">
        <x:f>ROUND((E167-C167)*1440,1)</x:f>
        <x:v>10.6</x:v>
      </x:c>
      <x:c r="J167" s="113" t="n">
        <x:f>IF(A167=A166,ROUND((C167-C166)*1440,1),0)</x:f>
        <x:v>6</x:v>
      </x:c>
      <x:c r="K167" s="76" t="str">
        <x:v>FrontDesk-01</x:v>
      </x:c>
      <x:c r="L167" s="113" t="n">
        <x:f>MAX(0,COUNTIFS($A$2:$A$401,A167,$C$2:$C$401,"&lt;"&amp;C167,$E$2:$E$401,"&gt;"&amp;C167)-1)</x:f>
        <x:v>2</x:v>
      </x:c>
      <x:c r="M167" s="113" t="n">
        <x:f>HOUR(C167)</x:f>
        <x:v>8</x:v>
      </x:c>
      <x:c r="N167" s="119" t="n">
        <x:f>ROUND((C167-A167-TIME(8,0,0))*1440,1)</x:f>
        <x:v>36.3</x:v>
      </x:c>
    </x:row>
    <x:row r="168" ht="18" customHeight="1">
      <x:c r="A168" s="101" t="n">
        <x:v>46134</x:v>
      </x:c>
      <x:c r="B168" s="76" t="str">
        <x:v>P0167</x:v>
      </x:c>
      <x:c r="C168" s="107" t="n">
        <x:v>46134.359000462966</x:v>
      </x:c>
      <x:c r="D168" s="107" t="n">
        <x:v>46134.365879641206</x:v>
      </x:c>
      <x:c r="E168" s="107" t="n">
        <x:v>46134.368865752316</x:v>
      </x:c>
      <x:c r="F168" s="76" t="str">
        <x:v>registration</x:v>
      </x:c>
      <x:c r="G168" s="113" t="n">
        <x:f>ROUND((E168-D168)*1440,1)</x:f>
        <x:v>4.3</x:v>
      </x:c>
      <x:c r="H168" s="113" t="n">
        <x:f>ROUND((D168-C168)*1440,1)</x:f>
        <x:v>9.9</x:v>
      </x:c>
      <x:c r="I168" s="113" t="n">
        <x:f>ROUND((E168-C168)*1440,1)</x:f>
        <x:v>14.2</x:v>
      </x:c>
      <x:c r="J168" s="113" t="n">
        <x:f>IF(A168=A167,ROUND((C168-C167)*1440,1),0)</x:f>
        <x:v>0.7</x:v>
      </x:c>
      <x:c r="K168" s="76" t="str">
        <x:v>FrontDesk-01</x:v>
      </x:c>
      <x:c r="L168" s="113" t="n">
        <x:f>MAX(0,COUNTIFS($A$2:$A$401,A168,$C$2:$C$401,"&lt;"&amp;C168,$E$2:$E$401,"&gt;"&amp;C168)-1)</x:f>
        <x:v>3</x:v>
      </x:c>
      <x:c r="M168" s="113" t="n">
        <x:f>HOUR(C168)</x:f>
        <x:v>8</x:v>
      </x:c>
      <x:c r="N168" s="119" t="n">
        <x:f>ROUND((C168-A168-TIME(8,0,0))*1440,1)</x:f>
        <x:v>37</x:v>
      </x:c>
    </x:row>
    <x:row r="169" ht="18" customHeight="1">
      <x:c r="A169" s="101" t="n">
        <x:v>46134</x:v>
      </x:c>
      <x:c r="B169" s="76" t="str">
        <x:v>P0168</x:v>
      </x:c>
      <x:c r="C169" s="107" t="n">
        <x:v>46134.35968069445</x:v>
      </x:c>
      <x:c r="D169" s="107" t="n">
        <x:v>46134.368865752316</x:v>
      </x:c>
      <x:c r="E169" s="107" t="n">
        <x:v>46134.37004630787</x:v>
      </x:c>
      <x:c r="F169" s="76" t="str">
        <x:v>billing_payment</x:v>
      </x:c>
      <x:c r="G169" s="113" t="n">
        <x:f>ROUND((E169-D169)*1440,1)</x:f>
        <x:v>1.7</x:v>
      </x:c>
      <x:c r="H169" s="113" t="n">
        <x:f>ROUND((D169-C169)*1440,1)</x:f>
        <x:v>13.2</x:v>
      </x:c>
      <x:c r="I169" s="113" t="n">
        <x:f>ROUND((E169-C169)*1440,1)</x:f>
        <x:v>14.9</x:v>
      </x:c>
      <x:c r="J169" s="113" t="n">
        <x:f>IF(A169=A168,ROUND((C169-C168)*1440,1),0)</x:f>
        <x:v>1</x:v>
      </x:c>
      <x:c r="K169" s="76" t="str">
        <x:v>FrontDesk-01</x:v>
      </x:c>
      <x:c r="L169" s="113" t="n">
        <x:f>MAX(0,COUNTIFS($A$2:$A$401,A169,$C$2:$C$401,"&lt;"&amp;C169,$E$2:$E$401,"&gt;"&amp;C169)-1)</x:f>
        <x:v>4</x:v>
      </x:c>
      <x:c r="M169" s="113" t="n">
        <x:f>HOUR(C169)</x:f>
        <x:v>8</x:v>
      </x:c>
      <x:c r="N169" s="119" t="n">
        <x:f>ROUND((C169-A169-TIME(8,0,0))*1440,1)</x:f>
        <x:v>37.9</x:v>
      </x:c>
    </x:row>
    <x:row r="170" ht="18" customHeight="1">
      <x:c r="A170" s="101" t="n">
        <x:v>46134</x:v>
      </x:c>
      <x:c r="B170" s="76" t="str">
        <x:v>P0169</x:v>
      </x:c>
      <x:c r="C170" s="107" t="n">
        <x:v>46134.36015219907</x:v>
      </x:c>
      <x:c r="D170" s="107" t="n">
        <x:v>46134.37004630787</x:v>
      </x:c>
      <x:c r="E170" s="107" t="n">
        <x:v>46134.37282408565</x:v>
      </x:c>
      <x:c r="F170" s="76" t="str">
        <x:v>registration</x:v>
      </x:c>
      <x:c r="G170" s="113" t="n">
        <x:f>ROUND((E170-D170)*1440,1)</x:f>
        <x:v>4</x:v>
      </x:c>
      <x:c r="H170" s="113" t="n">
        <x:f>ROUND((D170-C170)*1440,1)</x:f>
        <x:v>14.2</x:v>
      </x:c>
      <x:c r="I170" s="113" t="n">
        <x:f>ROUND((E170-C170)*1440,1)</x:f>
        <x:v>18.2</x:v>
      </x:c>
      <x:c r="J170" s="113" t="n">
        <x:f>IF(A170=A169,ROUND((C170-C169)*1440,1),0)</x:f>
        <x:v>0.7</x:v>
      </x:c>
      <x:c r="K170" s="76" t="str">
        <x:v>FrontDesk-01</x:v>
      </x:c>
      <x:c r="L170" s="113" t="n">
        <x:f>MAX(0,COUNTIFS($A$2:$A$401,A170,$C$2:$C$401,"&lt;"&amp;C170,$E$2:$E$401,"&gt;"&amp;C170)-1)</x:f>
        <x:v>4</x:v>
      </x:c>
      <x:c r="M170" s="113" t="n">
        <x:f>HOUR(C170)</x:f>
        <x:v>8</x:v>
      </x:c>
      <x:c r="N170" s="119" t="n">
        <x:f>ROUND((C170-A170-TIME(8,0,0))*1440,1)</x:f>
        <x:v>38.6</x:v>
      </x:c>
    </x:row>
    <x:row r="171" ht="18" customHeight="1">
      <x:c r="A171" s="101" t="n">
        <x:v>46134</x:v>
      </x:c>
      <x:c r="B171" s="76" t="str">
        <x:v>P0170</x:v>
      </x:c>
      <x:c r="C171" s="107" t="n">
        <x:v>46134.360195960646</x:v>
      </x:c>
      <x:c r="D171" s="107" t="n">
        <x:v>46134.37282408565</x:v>
      </x:c>
      <x:c r="E171" s="107" t="n">
        <x:v>46134.375324085646</x:v>
      </x:c>
      <x:c r="F171" s="76" t="str">
        <x:v>registration</x:v>
      </x:c>
      <x:c r="G171" s="113" t="n">
        <x:f>ROUND((E171-D171)*1440,1)</x:f>
        <x:v>3.6</x:v>
      </x:c>
      <x:c r="H171" s="113" t="n">
        <x:f>ROUND((D171-C171)*1440,1)</x:f>
        <x:v>18.2</x:v>
      </x:c>
      <x:c r="I171" s="113" t="n">
        <x:f>ROUND((E171-C171)*1440,1)</x:f>
        <x:v>21.8</x:v>
      </x:c>
      <x:c r="J171" s="113" t="n">
        <x:f>IF(A171=A170,ROUND((C171-C170)*1440,1),0)</x:f>
        <x:v>0.1</x:v>
      </x:c>
      <x:c r="K171" s="76" t="str">
        <x:v>FrontDesk-01</x:v>
      </x:c>
      <x:c r="L171" s="113" t="n">
        <x:f>MAX(0,COUNTIFS($A$2:$A$401,A171,$C$2:$C$401,"&lt;"&amp;C171,$E$2:$E$401,"&gt;"&amp;C171)-1)</x:f>
        <x:v>5</x:v>
      </x:c>
      <x:c r="M171" s="113" t="n">
        <x:f>HOUR(C171)</x:f>
        <x:v>8</x:v>
      </x:c>
      <x:c r="N171" s="119" t="n">
        <x:f>ROUND((C171-A171-TIME(8,0,0))*1440,1)</x:f>
        <x:v>38.7</x:v>
      </x:c>
    </x:row>
    <x:row r="172" ht="18" customHeight="1">
      <x:c r="A172" s="101" t="n">
        <x:v>46134</x:v>
      </x:c>
      <x:c r="B172" s="76" t="str">
        <x:v>P0171</x:v>
      </x:c>
      <x:c r="C172" s="107" t="n">
        <x:v>46134.36306780093</x:v>
      </x:c>
      <x:c r="D172" s="107" t="n">
        <x:v>46134.375324085646</x:v>
      </x:c>
      <x:c r="E172" s="107" t="n">
        <x:v>46134.37942130787</x:v>
      </x:c>
      <x:c r="F172" s="76" t="str">
        <x:v>sample_submission</x:v>
      </x:c>
      <x:c r="G172" s="113" t="n">
        <x:f>ROUND((E172-D172)*1440,1)</x:f>
        <x:v>5.9</x:v>
      </x:c>
      <x:c r="H172" s="113" t="n">
        <x:f>ROUND((D172-C172)*1440,1)</x:f>
        <x:v>17.6</x:v>
      </x:c>
      <x:c r="I172" s="113" t="n">
        <x:f>ROUND((E172-C172)*1440,1)</x:f>
        <x:v>23.5</x:v>
      </x:c>
      <x:c r="J172" s="113" t="n">
        <x:f>IF(A172=A171,ROUND((C172-C171)*1440,1),0)</x:f>
        <x:v>4.1</x:v>
      </x:c>
      <x:c r="K172" s="76" t="str">
        <x:v>FrontDesk-01</x:v>
      </x:c>
      <x:c r="L172" s="113" t="n">
        <x:f>MAX(0,COUNTIFS($A$2:$A$401,A172,$C$2:$C$401,"&lt;"&amp;C172,$E$2:$E$401,"&gt;"&amp;C172)-1)</x:f>
        <x:v>4</x:v>
      </x:c>
      <x:c r="M172" s="113" t="n">
        <x:f>HOUR(C172)</x:f>
        <x:v>8</x:v>
      </x:c>
      <x:c r="N172" s="119" t="n">
        <x:f>ROUND((C172-A172-TIME(8,0,0))*1440,1)</x:f>
        <x:v>42.8</x:v>
      </x:c>
    </x:row>
    <x:row r="173" ht="18" customHeight="1">
      <x:c r="A173" s="101" t="n">
        <x:v>46134</x:v>
      </x:c>
      <x:c r="B173" s="76" t="str">
        <x:v>P0172</x:v>
      </x:c>
      <x:c r="C173" s="107" t="n">
        <x:v>46134.3647309838</x:v>
      </x:c>
      <x:c r="D173" s="107" t="n">
        <x:v>46134.37942130787</x:v>
      </x:c>
      <x:c r="E173" s="107" t="n">
        <x:v>46134.38233797454</x:v>
      </x:c>
      <x:c r="F173" s="76" t="str">
        <x:v>registration</x:v>
      </x:c>
      <x:c r="G173" s="113" t="n">
        <x:f>ROUND((E173-D173)*1440,1)</x:f>
        <x:v>4.2</x:v>
      </x:c>
      <x:c r="H173" s="113" t="n">
        <x:f>ROUND((D173-C173)*1440,1)</x:f>
        <x:v>21.2</x:v>
      </x:c>
      <x:c r="I173" s="113" t="n">
        <x:f>ROUND((E173-C173)*1440,1)</x:f>
        <x:v>25.4</x:v>
      </x:c>
      <x:c r="J173" s="113" t="n">
        <x:f>IF(A173=A172,ROUND((C173-C172)*1440,1),0)</x:f>
        <x:v>2.4</x:v>
      </x:c>
      <x:c r="K173" s="76" t="str">
        <x:v>FrontDesk-01</x:v>
      </x:c>
      <x:c r="L173" s="113" t="n">
        <x:f>MAX(0,COUNTIFS($A$2:$A$401,A173,$C$2:$C$401,"&lt;"&amp;C173,$E$2:$E$401,"&gt;"&amp;C173)-1)</x:f>
        <x:v>5</x:v>
      </x:c>
      <x:c r="M173" s="113" t="n">
        <x:f>HOUR(C173)</x:f>
        <x:v>8</x:v>
      </x:c>
      <x:c r="N173" s="119" t="n">
        <x:f>ROUND((C173-A173-TIME(8,0,0))*1440,1)</x:f>
        <x:v>45.2</x:v>
      </x:c>
    </x:row>
    <x:row r="174" ht="18" customHeight="1">
      <x:c r="A174" s="101" t="n">
        <x:v>46134</x:v>
      </x:c>
      <x:c r="B174" s="76" t="str">
        <x:v>P0173</x:v>
      </x:c>
      <x:c r="C174" s="107" t="n">
        <x:v>46134.365085289355</x:v>
      </x:c>
      <x:c r="D174" s="107" t="n">
        <x:v>46134.38233797454</x:v>
      </x:c>
      <x:c r="E174" s="107" t="n">
        <x:v>46134.38657408565</x:v>
      </x:c>
      <x:c r="F174" s="76" t="str">
        <x:v>registration</x:v>
      </x:c>
      <x:c r="G174" s="113" t="n">
        <x:f>ROUND((E174-D174)*1440,1)</x:f>
        <x:v>6.1</x:v>
      </x:c>
      <x:c r="H174" s="113" t="n">
        <x:f>ROUND((D174-C174)*1440,1)</x:f>
        <x:v>24.8</x:v>
      </x:c>
      <x:c r="I174" s="113" t="n">
        <x:f>ROUND((E174-C174)*1440,1)</x:f>
        <x:v>30.9</x:v>
      </x:c>
      <x:c r="J174" s="113" t="n">
        <x:f>IF(A174=A173,ROUND((C174-C173)*1440,1),0)</x:f>
        <x:v>0.5</x:v>
      </x:c>
      <x:c r="K174" s="76" t="str">
        <x:v>FrontDesk-01</x:v>
      </x:c>
      <x:c r="L174" s="113" t="n">
        <x:f>MAX(0,COUNTIFS($A$2:$A$401,A174,$C$2:$C$401,"&lt;"&amp;C174,$E$2:$E$401,"&gt;"&amp;C174)-1)</x:f>
        <x:v>6</x:v>
      </x:c>
      <x:c r="M174" s="113" t="n">
        <x:f>HOUR(C174)</x:f>
        <x:v>8</x:v>
      </x:c>
      <x:c r="N174" s="119" t="n">
        <x:f>ROUND((C174-A174-TIME(8,0,0))*1440,1)</x:f>
        <x:v>45.7</x:v>
      </x:c>
    </x:row>
    <x:row r="175" ht="18" customHeight="1">
      <x:c r="A175" s="101" t="n">
        <x:v>46134</x:v>
      </x:c>
      <x:c r="B175" s="76" t="str">
        <x:v>P0174</x:v>
      </x:c>
      <x:c r="C175" s="107" t="n">
        <x:v>46134.36521363426</x:v>
      </x:c>
      <x:c r="D175" s="107" t="n">
        <x:v>46134.38657408565</x:v>
      </x:c>
      <x:c r="E175" s="107" t="n">
        <x:v>46134.38817130787</x:v>
      </x:c>
      <x:c r="F175" s="76" t="str">
        <x:v>billing_payment</x:v>
      </x:c>
      <x:c r="G175" s="113" t="n">
        <x:f>ROUND((E175-D175)*1440,1)</x:f>
        <x:v>2.3</x:v>
      </x:c>
      <x:c r="H175" s="113" t="n">
        <x:f>ROUND((D175-C175)*1440,1)</x:f>
        <x:v>30.8</x:v>
      </x:c>
      <x:c r="I175" s="113" t="n">
        <x:f>ROUND((E175-C175)*1440,1)</x:f>
        <x:v>33.1</x:v>
      </x:c>
      <x:c r="J175" s="113" t="n">
        <x:f>IF(A175=A174,ROUND((C175-C174)*1440,1),0)</x:f>
        <x:v>0.2</x:v>
      </x:c>
      <x:c r="K175" s="76" t="str">
        <x:v>FrontDesk-01</x:v>
      </x:c>
      <x:c r="L175" s="113" t="n">
        <x:f>MAX(0,COUNTIFS($A$2:$A$401,A175,$C$2:$C$401,"&lt;"&amp;C175,$E$2:$E$401,"&gt;"&amp;C175)-1)</x:f>
        <x:v>7</x:v>
      </x:c>
      <x:c r="M175" s="113" t="n">
        <x:f>HOUR(C175)</x:f>
        <x:v>8</x:v>
      </x:c>
      <x:c r="N175" s="119" t="n">
        <x:f>ROUND((C175-A175-TIME(8,0,0))*1440,1)</x:f>
        <x:v>45.9</x:v>
      </x:c>
    </x:row>
    <x:row r="176" ht="18" customHeight="1">
      <x:c r="A176" s="101" t="n">
        <x:v>46134</x:v>
      </x:c>
      <x:c r="B176" s="76" t="str">
        <x:v>P0175</x:v>
      </x:c>
      <x:c r="C176" s="107" t="n">
        <x:v>46134.36624619213</x:v>
      </x:c>
      <x:c r="D176" s="107" t="n">
        <x:v>46134.38817130787</x:v>
      </x:c>
      <x:c r="E176" s="107" t="n">
        <x:v>46134.39164353009</x:v>
      </x:c>
      <x:c r="F176" s="76" t="str">
        <x:v>sample_submission</x:v>
      </x:c>
      <x:c r="G176" s="113" t="n">
        <x:f>ROUND((E176-D176)*1440,1)</x:f>
        <x:v>5</x:v>
      </x:c>
      <x:c r="H176" s="113" t="n">
        <x:f>ROUND((D176-C176)*1440,1)</x:f>
        <x:v>31.6</x:v>
      </x:c>
      <x:c r="I176" s="113" t="n">
        <x:f>ROUND((E176-C176)*1440,1)</x:f>
        <x:v>36.6</x:v>
      </x:c>
      <x:c r="J176" s="113" t="n">
        <x:f>IF(A176=A175,ROUND((C176-C175)*1440,1),0)</x:f>
        <x:v>1.5</x:v>
      </x:c>
      <x:c r="K176" s="76" t="str">
        <x:v>FrontDesk-01</x:v>
      </x:c>
      <x:c r="L176" s="113" t="n">
        <x:f>MAX(0,COUNTIFS($A$2:$A$401,A176,$C$2:$C$401,"&lt;"&amp;C176,$E$2:$E$401,"&gt;"&amp;C176)-1)</x:f>
        <x:v>7</x:v>
      </x:c>
      <x:c r="M176" s="113" t="n">
        <x:f>HOUR(C176)</x:f>
        <x:v>8</x:v>
      </x:c>
      <x:c r="N176" s="119" t="n">
        <x:f>ROUND((C176-A176-TIME(8,0,0))*1440,1)</x:f>
        <x:v>47.4</x:v>
      </x:c>
    </x:row>
    <x:row r="177" ht="18" customHeight="1">
      <x:c r="A177" s="101" t="n">
        <x:v>46134</x:v>
      </x:c>
      <x:c r="B177" s="76" t="str">
        <x:v>P0176</x:v>
      </x:c>
      <x:c r="C177" s="107" t="n">
        <x:v>46134.36769831018</x:v>
      </x:c>
      <x:c r="D177" s="107" t="n">
        <x:v>46134.39164353009</x:v>
      </x:c>
      <x:c r="E177" s="107" t="n">
        <x:v>46134.3933796412</x:v>
      </x:c>
      <x:c r="F177" s="76" t="str">
        <x:v>billing_payment</x:v>
      </x:c>
      <x:c r="G177" s="113" t="n">
        <x:f>ROUND((E177-D177)*1440,1)</x:f>
        <x:v>2.5</x:v>
      </x:c>
      <x:c r="H177" s="113" t="n">
        <x:f>ROUND((D177-C177)*1440,1)</x:f>
        <x:v>34.5</x:v>
      </x:c>
      <x:c r="I177" s="113" t="n">
        <x:f>ROUND((E177-C177)*1440,1)</x:f>
        <x:v>37</x:v>
      </x:c>
      <x:c r="J177" s="113" t="n">
        <x:f>IF(A177=A176,ROUND((C177-C176)*1440,1),0)</x:f>
        <x:v>2.1</x:v>
      </x:c>
      <x:c r="K177" s="76" t="str">
        <x:v>FrontDesk-01</x:v>
      </x:c>
      <x:c r="L177" s="113" t="n">
        <x:f>MAX(0,COUNTIFS($A$2:$A$401,A177,$C$2:$C$401,"&lt;"&amp;C177,$E$2:$E$401,"&gt;"&amp;C177)-1)</x:f>
        <x:v>8</x:v>
      </x:c>
      <x:c r="M177" s="113" t="n">
        <x:f>HOUR(C177)</x:f>
        <x:v>8</x:v>
      </x:c>
      <x:c r="N177" s="119" t="n">
        <x:f>ROUND((C177-A177-TIME(8,0,0))*1440,1)</x:f>
        <x:v>49.5</x:v>
      </x:c>
    </x:row>
    <x:row r="178" ht="18" customHeight="1">
      <x:c r="A178" s="101" t="n">
        <x:v>46134</x:v>
      </x:c>
      <x:c r="B178" s="76" t="str">
        <x:v>P0177</x:v>
      </x:c>
      <x:c r="C178" s="107" t="n">
        <x:v>46134.37032135417</x:v>
      </x:c>
      <x:c r="D178" s="107" t="n">
        <x:v>46134.3933796412</x:v>
      </x:c>
      <x:c r="E178" s="107" t="n">
        <x:v>46134.39567130787</x:v>
      </x:c>
      <x:c r="F178" s="76" t="str">
        <x:v>billing_payment</x:v>
      </x:c>
      <x:c r="G178" s="113" t="n">
        <x:f>ROUND((E178-D178)*1440,1)</x:f>
        <x:v>3.3</x:v>
      </x:c>
      <x:c r="H178" s="113" t="n">
        <x:f>ROUND((D178-C178)*1440,1)</x:f>
        <x:v>33.2</x:v>
      </x:c>
      <x:c r="I178" s="113" t="n">
        <x:f>ROUND((E178-C178)*1440,1)</x:f>
        <x:v>36.5</x:v>
      </x:c>
      <x:c r="J178" s="113" t="n">
        <x:f>IF(A178=A177,ROUND((C178-C177)*1440,1),0)</x:f>
        <x:v>3.8</x:v>
      </x:c>
      <x:c r="K178" s="76" t="str">
        <x:v>FrontDesk-01</x:v>
      </x:c>
      <x:c r="L178" s="113" t="n">
        <x:f>MAX(0,COUNTIFS($A$2:$A$401,A178,$C$2:$C$401,"&lt;"&amp;C178,$E$2:$E$401,"&gt;"&amp;C178)-1)</x:f>
        <x:v>7</x:v>
      </x:c>
      <x:c r="M178" s="113" t="n">
        <x:f>HOUR(C178)</x:f>
        <x:v>8</x:v>
      </x:c>
      <x:c r="N178" s="119" t="n">
        <x:f>ROUND((C178-A178-TIME(8,0,0))*1440,1)</x:f>
        <x:v>53.3</x:v>
      </x:c>
    </x:row>
    <x:row r="179" ht="18" customHeight="1">
      <x:c r="A179" s="101" t="n">
        <x:v>46134</x:v>
      </x:c>
      <x:c r="B179" s="76" t="str">
        <x:v>P0178</x:v>
      </x:c>
      <x:c r="C179" s="107" t="n">
        <x:v>46134.37115961806</x:v>
      </x:c>
      <x:c r="D179" s="107" t="n">
        <x:v>46134.39567130787</x:v>
      </x:c>
      <x:c r="E179" s="107" t="n">
        <x:v>46134.397615752314</x:v>
      </x:c>
      <x:c r="F179" s="76" t="str">
        <x:v>registration</x:v>
      </x:c>
      <x:c r="G179" s="113" t="n">
        <x:f>ROUND((E179-D179)*1440,1)</x:f>
        <x:v>2.8</x:v>
      </x:c>
      <x:c r="H179" s="113" t="n">
        <x:f>ROUND((D179-C179)*1440,1)</x:f>
        <x:v>35.3</x:v>
      </x:c>
      <x:c r="I179" s="113" t="n">
        <x:f>ROUND((E179-C179)*1440,1)</x:f>
        <x:v>38.1</x:v>
      </x:c>
      <x:c r="J179" s="113" t="n">
        <x:f>IF(A179=A178,ROUND((C179-C178)*1440,1),0)</x:f>
        <x:v>1.2</x:v>
      </x:c>
      <x:c r="K179" s="76" t="str">
        <x:v>FrontDesk-01</x:v>
      </x:c>
      <x:c r="L179" s="113" t="n">
        <x:f>MAX(0,COUNTIFS($A$2:$A$401,A179,$C$2:$C$401,"&lt;"&amp;C179,$E$2:$E$401,"&gt;"&amp;C179)-1)</x:f>
        <x:v>8</x:v>
      </x:c>
      <x:c r="M179" s="113" t="n">
        <x:f>HOUR(C179)</x:f>
        <x:v>8</x:v>
      </x:c>
      <x:c r="N179" s="119" t="n">
        <x:f>ROUND((C179-A179-TIME(8,0,0))*1440,1)</x:f>
        <x:v>54.5</x:v>
      </x:c>
    </x:row>
    <x:row r="180" ht="18" customHeight="1">
      <x:c r="A180" s="101" t="n">
        <x:v>46134</x:v>
      </x:c>
      <x:c r="B180" s="76" t="str">
        <x:v>P0179</x:v>
      </x:c>
      <x:c r="C180" s="107" t="n">
        <x:v>46134.37210204861</x:v>
      </x:c>
      <x:c r="D180" s="107" t="n">
        <x:v>46134.397615752314</x:v>
      </x:c>
      <x:c r="E180" s="107" t="n">
        <x:v>46134.40129630787</x:v>
      </x:c>
      <x:c r="F180" s="76" t="str">
        <x:v>registration</x:v>
      </x:c>
      <x:c r="G180" s="113" t="n">
        <x:f>ROUND((E180-D180)*1440,1)</x:f>
        <x:v>5.3</x:v>
      </x:c>
      <x:c r="H180" s="113" t="n">
        <x:f>ROUND((D180-C180)*1440,1)</x:f>
        <x:v>36.7</x:v>
      </x:c>
      <x:c r="I180" s="113" t="n">
        <x:f>ROUND((E180-C180)*1440,1)</x:f>
        <x:v>42</x:v>
      </x:c>
      <x:c r="J180" s="113" t="n">
        <x:f>IF(A180=A179,ROUND((C180-C179)*1440,1),0)</x:f>
        <x:v>1.4</x:v>
      </x:c>
      <x:c r="K180" s="76" t="str">
        <x:v>FrontDesk-01</x:v>
      </x:c>
      <x:c r="L180" s="113" t="n">
        <x:f>MAX(0,COUNTIFS($A$2:$A$401,A180,$C$2:$C$401,"&lt;"&amp;C180,$E$2:$E$401,"&gt;"&amp;C180)-1)</x:f>
        <x:v>9</x:v>
      </x:c>
      <x:c r="M180" s="113" t="n">
        <x:f>HOUR(C180)</x:f>
        <x:v>8</x:v>
      </x:c>
      <x:c r="N180" s="119" t="n">
        <x:f>ROUND((C180-A180-TIME(8,0,0))*1440,1)</x:f>
        <x:v>55.8</x:v>
      </x:c>
    </x:row>
    <x:row r="181" ht="18" customHeight="1">
      <x:c r="A181" s="101" t="n">
        <x:v>46134</x:v>
      </x:c>
      <x:c r="B181" s="76" t="str">
        <x:v>P0180</x:v>
      </x:c>
      <x:c r="C181" s="107" t="n">
        <x:v>46134.37247829861</x:v>
      </x:c>
      <x:c r="D181" s="107" t="n">
        <x:v>46134.40129630787</x:v>
      </x:c>
      <x:c r="E181" s="107" t="n">
        <x:v>46134.404629641205</x:v>
      </x:c>
      <x:c r="F181" s="76" t="str">
        <x:v>registration</x:v>
      </x:c>
      <x:c r="G181" s="113" t="n">
        <x:f>ROUND((E181-D181)*1440,1)</x:f>
        <x:v>4.8</x:v>
      </x:c>
      <x:c r="H181" s="113" t="n">
        <x:f>ROUND((D181-C181)*1440,1)</x:f>
        <x:v>41.5</x:v>
      </x:c>
      <x:c r="I181" s="113" t="n">
        <x:f>ROUND((E181-C181)*1440,1)</x:f>
        <x:v>46.3</x:v>
      </x:c>
      <x:c r="J181" s="113" t="n">
        <x:f>IF(A181=A180,ROUND((C181-C180)*1440,1),0)</x:f>
        <x:v>0.5</x:v>
      </x:c>
      <x:c r="K181" s="76" t="str">
        <x:v>FrontDesk-01</x:v>
      </x:c>
      <x:c r="L181" s="113" t="n">
        <x:f>MAX(0,COUNTIFS($A$2:$A$401,A181,$C$2:$C$401,"&lt;"&amp;C181,$E$2:$E$401,"&gt;"&amp;C181)-1)</x:f>
        <x:v>10</x:v>
      </x:c>
      <x:c r="M181" s="113" t="n">
        <x:f>HOUR(C181)</x:f>
        <x:v>8</x:v>
      </x:c>
      <x:c r="N181" s="119" t="n">
        <x:f>ROUND((C181-A181-TIME(8,0,0))*1440,1)</x:f>
        <x:v>56.4</x:v>
      </x:c>
    </x:row>
    <x:row r="182" ht="18" customHeight="1">
      <x:c r="A182" s="101" t="n">
        <x:v>46134</x:v>
      </x:c>
      <x:c r="B182" s="76" t="str">
        <x:v>P0181</x:v>
      </x:c>
      <x:c r="C182" s="107" t="n">
        <x:v>46134.37258076389</x:v>
      </x:c>
      <x:c r="D182" s="107" t="n">
        <x:v>46134.404629641205</x:v>
      </x:c>
      <x:c r="E182" s="107" t="n">
        <x:v>46134.40726853009</x:v>
      </x:c>
      <x:c r="F182" s="76" t="str">
        <x:v>registration</x:v>
      </x:c>
      <x:c r="G182" s="113" t="n">
        <x:f>ROUND((E182-D182)*1440,1)</x:f>
        <x:v>3.8</x:v>
      </x:c>
      <x:c r="H182" s="113" t="n">
        <x:f>ROUND((D182-C182)*1440,1)</x:f>
        <x:v>46.2</x:v>
      </x:c>
      <x:c r="I182" s="113" t="n">
        <x:f>ROUND((E182-C182)*1440,1)</x:f>
        <x:v>50</x:v>
      </x:c>
      <x:c r="J182" s="113" t="n">
        <x:f>IF(A182=A181,ROUND((C182-C181)*1440,1),0)</x:f>
        <x:v>0.1</x:v>
      </x:c>
      <x:c r="K182" s="76" t="str">
        <x:v>FrontDesk-01</x:v>
      </x:c>
      <x:c r="L182" s="113" t="n">
        <x:f>MAX(0,COUNTIFS($A$2:$A$401,A182,$C$2:$C$401,"&lt;"&amp;C182,$E$2:$E$401,"&gt;"&amp;C182)-1)</x:f>
        <x:v>11</x:v>
      </x:c>
      <x:c r="M182" s="113" t="n">
        <x:f>HOUR(C182)</x:f>
        <x:v>8</x:v>
      </x:c>
      <x:c r="N182" s="119" t="n">
        <x:f>ROUND((C182-A182-TIME(8,0,0))*1440,1)</x:f>
        <x:v>56.5</x:v>
      </x:c>
    </x:row>
    <x:row r="183" ht="18" customHeight="1">
      <x:c r="A183" s="101" t="n">
        <x:v>46134</x:v>
      </x:c>
      <x:c r="B183" s="76" t="str">
        <x:v>P0182</x:v>
      </x:c>
      <x:c r="C183" s="107" t="n">
        <x:v>46134.37386841435</x:v>
      </x:c>
      <x:c r="D183" s="107" t="n">
        <x:v>46134.40726853009</x:v>
      </x:c>
      <x:c r="E183" s="107" t="n">
        <x:v>46134.4083796412</x:v>
      </x:c>
      <x:c r="F183" s="76" t="str">
        <x:v>report_collection</x:v>
      </x:c>
      <x:c r="G183" s="113" t="n">
        <x:f>ROUND((E183-D183)*1440,1)</x:f>
        <x:v>1.6</x:v>
      </x:c>
      <x:c r="H183" s="113" t="n">
        <x:f>ROUND((D183-C183)*1440,1)</x:f>
        <x:v>48.1</x:v>
      </x:c>
      <x:c r="I183" s="113" t="n">
        <x:f>ROUND((E183-C183)*1440,1)</x:f>
        <x:v>49.7</x:v>
      </x:c>
      <x:c r="J183" s="113" t="n">
        <x:f>IF(A183=A182,ROUND((C183-C182)*1440,1),0)</x:f>
        <x:v>1.9</x:v>
      </x:c>
      <x:c r="K183" s="76" t="str">
        <x:v>FrontDesk-01</x:v>
      </x:c>
      <x:c r="L183" s="113" t="n">
        <x:f>MAX(0,COUNTIFS($A$2:$A$401,A183,$C$2:$C$401,"&lt;"&amp;C183,$E$2:$E$401,"&gt;"&amp;C183)-1)</x:f>
        <x:v>11</x:v>
      </x:c>
      <x:c r="M183" s="113" t="n">
        <x:f>HOUR(C183)</x:f>
        <x:v>8</x:v>
      </x:c>
      <x:c r="N183" s="119" t="n">
        <x:f>ROUND((C183-A183-TIME(8,0,0))*1440,1)</x:f>
        <x:v>58.4</x:v>
      </x:c>
    </x:row>
    <x:row r="184" ht="18" customHeight="1">
      <x:c r="A184" s="101" t="n">
        <x:v>46134</x:v>
      </x:c>
      <x:c r="B184" s="76" t="str">
        <x:v>P0183</x:v>
      </x:c>
      <x:c r="C184" s="107" t="n">
        <x:v>46134.37662752315</x:v>
      </x:c>
      <x:c r="D184" s="107" t="n">
        <x:v>46134.4083796412</x:v>
      </x:c>
      <x:c r="E184" s="107" t="n">
        <x:v>46134.41129630787</x:v>
      </x:c>
      <x:c r="F184" s="76" t="str">
        <x:v>registration</x:v>
      </x:c>
      <x:c r="G184" s="113" t="n">
        <x:f>ROUND((E184-D184)*1440,1)</x:f>
        <x:v>4.2</x:v>
      </x:c>
      <x:c r="H184" s="113" t="n">
        <x:f>ROUND((D184-C184)*1440,1)</x:f>
        <x:v>45.7</x:v>
      </x:c>
      <x:c r="I184" s="113" t="n">
        <x:f>ROUND((E184-C184)*1440,1)</x:f>
        <x:v>49.9</x:v>
      </x:c>
      <x:c r="J184" s="113" t="n">
        <x:f>IF(A184=A183,ROUND((C184-C183)*1440,1),0)</x:f>
        <x:v>4</x:v>
      </x:c>
      <x:c r="K184" s="76" t="str">
        <x:v>FrontDesk-01</x:v>
      </x:c>
      <x:c r="L184" s="113" t="n">
        <x:f>MAX(0,COUNTIFS($A$2:$A$401,A184,$C$2:$C$401,"&lt;"&amp;C184,$E$2:$E$401,"&gt;"&amp;C184)-1)</x:f>
        <x:v>11</x:v>
      </x:c>
      <x:c r="M184" s="113" t="n">
        <x:f>HOUR(C184)</x:f>
        <x:v>9</x:v>
      </x:c>
      <x:c r="N184" s="119" t="n">
        <x:f>ROUND((C184-A184-TIME(8,0,0))*1440,1)</x:f>
        <x:v>62.3</x:v>
      </x:c>
    </x:row>
    <x:row r="185" ht="18" customHeight="1">
      <x:c r="A185" s="101" t="n">
        <x:v>46134</x:v>
      </x:c>
      <x:c r="B185" s="76" t="str">
        <x:v>P0184</x:v>
      </x:c>
      <x:c r="C185" s="107" t="n">
        <x:v>46134.38105131945</x:v>
      </x:c>
      <x:c r="D185" s="107" t="n">
        <x:v>46134.41129630787</x:v>
      </x:c>
      <x:c r="E185" s="107" t="n">
        <x:v>46134.414699085646</x:v>
      </x:c>
      <x:c r="F185" s="76" t="str">
        <x:v>registration</x:v>
      </x:c>
      <x:c r="G185" s="113" t="n">
        <x:f>ROUND((E185-D185)*1440,1)</x:f>
        <x:v>4.9</x:v>
      </x:c>
      <x:c r="H185" s="113" t="n">
        <x:f>ROUND((D185-C185)*1440,1)</x:f>
        <x:v>43.6</x:v>
      </x:c>
      <x:c r="I185" s="113" t="n">
        <x:f>ROUND((E185-C185)*1440,1)</x:f>
        <x:v>48.5</x:v>
      </x:c>
      <x:c r="J185" s="113" t="n">
        <x:f>IF(A185=A184,ROUND((C185-C184)*1440,1),0)</x:f>
        <x:v>6.4</x:v>
      </x:c>
      <x:c r="K185" s="76" t="str">
        <x:v>FrontDesk-01</x:v>
      </x:c>
      <x:c r="L185" s="113" t="n">
        <x:f>MAX(0,COUNTIFS($A$2:$A$401,A185,$C$2:$C$401,"&lt;"&amp;C185,$E$2:$E$401,"&gt;"&amp;C185)-1)</x:f>
        <x:v>11</x:v>
      </x:c>
      <x:c r="M185" s="113" t="n">
        <x:f>HOUR(C185)</x:f>
        <x:v>9</x:v>
      </x:c>
      <x:c r="N185" s="119" t="n">
        <x:f>ROUND((C185-A185-TIME(8,0,0))*1440,1)</x:f>
        <x:v>68.7</x:v>
      </x:c>
    </x:row>
    <x:row r="186" ht="18" customHeight="1">
      <x:c r="A186" s="101" t="n">
        <x:v>46134</x:v>
      </x:c>
      <x:c r="B186" s="76" t="str">
        <x:v>P0185</x:v>
      </x:c>
      <x:c r="C186" s="107" t="n">
        <x:v>46134.384168969904</x:v>
      </x:c>
      <x:c r="D186" s="107" t="n">
        <x:v>46134.414699085646</x:v>
      </x:c>
      <x:c r="E186" s="107" t="n">
        <x:v>46134.417060196756</x:v>
      </x:c>
      <x:c r="F186" s="76" t="str">
        <x:v>report_collection</x:v>
      </x:c>
      <x:c r="G186" s="113" t="n">
        <x:f>ROUND((E186-D186)*1440,1)</x:f>
        <x:v>3.4</x:v>
      </x:c>
      <x:c r="H186" s="113" t="n">
        <x:f>ROUND((D186-C186)*1440,1)</x:f>
        <x:v>44</x:v>
      </x:c>
      <x:c r="I186" s="113" t="n">
        <x:f>ROUND((E186-C186)*1440,1)</x:f>
        <x:v>47.4</x:v>
      </x:c>
      <x:c r="J186" s="113" t="n">
        <x:f>IF(A186=A185,ROUND((C186-C185)*1440,1),0)</x:f>
        <x:v>4.5</x:v>
      </x:c>
      <x:c r="K186" s="76" t="str">
        <x:v>FrontDesk-01</x:v>
      </x:c>
      <x:c r="L186" s="113" t="n">
        <x:f>MAX(0,COUNTIFS($A$2:$A$401,A186,$C$2:$C$401,"&lt;"&amp;C186,$E$2:$E$401,"&gt;"&amp;C186)-1)</x:f>
        <x:v>11</x:v>
      </x:c>
      <x:c r="M186" s="113" t="n">
        <x:f>HOUR(C186)</x:f>
        <x:v>9</x:v>
      </x:c>
      <x:c r="N186" s="119" t="n">
        <x:f>ROUND((C186-A186-TIME(8,0,0))*1440,1)</x:f>
        <x:v>73.2</x:v>
      </x:c>
    </x:row>
    <x:row r="187" ht="18" customHeight="1">
      <x:c r="A187" s="101" t="n">
        <x:v>46134</x:v>
      </x:c>
      <x:c r="B187" s="76" t="str">
        <x:v>P0186</x:v>
      </x:c>
      <x:c r="C187" s="107" t="n">
        <x:v>46134.38440603009</x:v>
      </x:c>
      <x:c r="D187" s="107" t="n">
        <x:v>46134.417060196756</x:v>
      </x:c>
      <x:c r="E187" s="107" t="n">
        <x:v>46134.41928241898</x:v>
      </x:c>
      <x:c r="F187" s="76" t="str">
        <x:v>billing_payment</x:v>
      </x:c>
      <x:c r="G187" s="113" t="n">
        <x:f>ROUND((E187-D187)*1440,1)</x:f>
        <x:v>3.2</x:v>
      </x:c>
      <x:c r="H187" s="113" t="n">
        <x:f>ROUND((D187-C187)*1440,1)</x:f>
        <x:v>47</x:v>
      </x:c>
      <x:c r="I187" s="113" t="n">
        <x:f>ROUND((E187-C187)*1440,1)</x:f>
        <x:v>50.2</x:v>
      </x:c>
      <x:c r="J187" s="113" t="n">
        <x:f>IF(A187=A186,ROUND((C187-C186)*1440,1),0)</x:f>
        <x:v>0.3</x:v>
      </x:c>
      <x:c r="K187" s="76" t="str">
        <x:v>FrontDesk-01</x:v>
      </x:c>
      <x:c r="L187" s="113" t="n">
        <x:f>MAX(0,COUNTIFS($A$2:$A$401,A187,$C$2:$C$401,"&lt;"&amp;C187,$E$2:$E$401,"&gt;"&amp;C187)-1)</x:f>
        <x:v>12</x:v>
      </x:c>
      <x:c r="M187" s="113" t="n">
        <x:f>HOUR(C187)</x:f>
        <x:v>9</x:v>
      </x:c>
      <x:c r="N187" s="119" t="n">
        <x:f>ROUND((C187-A187-TIME(8,0,0))*1440,1)</x:f>
        <x:v>73.5</x:v>
      </x:c>
    </x:row>
    <x:row r="188" ht="18" customHeight="1">
      <x:c r="A188" s="101" t="n">
        <x:v>46134</x:v>
      </x:c>
      <x:c r="B188" s="76" t="str">
        <x:v>P0187</x:v>
      </x:c>
      <x:c r="C188" s="107" t="n">
        <x:v>46134.38486503472</x:v>
      </x:c>
      <x:c r="D188" s="107" t="n">
        <x:v>46134.41928241898</x:v>
      </x:c>
      <x:c r="E188" s="107" t="n">
        <x:v>46134.420254641205</x:v>
      </x:c>
      <x:c r="F188" s="76" t="str">
        <x:v>report_collection</x:v>
      </x:c>
      <x:c r="G188" s="113" t="n">
        <x:f>ROUND((E188-D188)*1440,1)</x:f>
        <x:v>1.4</x:v>
      </x:c>
      <x:c r="H188" s="113" t="n">
        <x:f>ROUND((D188-C188)*1440,1)</x:f>
        <x:v>49.6</x:v>
      </x:c>
      <x:c r="I188" s="113" t="n">
        <x:f>ROUND((E188-C188)*1440,1)</x:f>
        <x:v>51</x:v>
      </x:c>
      <x:c r="J188" s="113" t="n">
        <x:f>IF(A188=A187,ROUND((C188-C187)*1440,1),0)</x:f>
        <x:v>0.7</x:v>
      </x:c>
      <x:c r="K188" s="76" t="str">
        <x:v>FrontDesk-01</x:v>
      </x:c>
      <x:c r="L188" s="113" t="n">
        <x:f>MAX(0,COUNTIFS($A$2:$A$401,A188,$C$2:$C$401,"&lt;"&amp;C188,$E$2:$E$401,"&gt;"&amp;C188)-1)</x:f>
        <x:v>13</x:v>
      </x:c>
      <x:c r="M188" s="113" t="n">
        <x:f>HOUR(C188)</x:f>
        <x:v>9</x:v>
      </x:c>
      <x:c r="N188" s="119" t="n">
        <x:f>ROUND((C188-A188-TIME(8,0,0))*1440,1)</x:f>
        <x:v>74.2</x:v>
      </x:c>
    </x:row>
    <x:row r="189" ht="18" customHeight="1">
      <x:c r="A189" s="101" t="n">
        <x:v>46134</x:v>
      </x:c>
      <x:c r="B189" s="76" t="str">
        <x:v>P0188</x:v>
      </x:c>
      <x:c r="C189" s="107" t="n">
        <x:v>46134.3868022338</x:v>
      </x:c>
      <x:c r="D189" s="107" t="n">
        <x:v>46134.420254641205</x:v>
      </x:c>
      <x:c r="E189" s="107" t="n">
        <x:v>46134.421990752315</x:v>
      </x:c>
      <x:c r="F189" s="76" t="str">
        <x:v>report_collection</x:v>
      </x:c>
      <x:c r="G189" s="113" t="n">
        <x:f>ROUND((E189-D189)*1440,1)</x:f>
        <x:v>2.5</x:v>
      </x:c>
      <x:c r="H189" s="113" t="n">
        <x:f>ROUND((D189-C189)*1440,1)</x:f>
        <x:v>48.2</x:v>
      </x:c>
      <x:c r="I189" s="113" t="n">
        <x:f>ROUND((E189-C189)*1440,1)</x:f>
        <x:v>50.7</x:v>
      </x:c>
      <x:c r="J189" s="113" t="n">
        <x:f>IF(A189=A188,ROUND((C189-C188)*1440,1),0)</x:f>
        <x:v>2.8</x:v>
      </x:c>
      <x:c r="K189" s="76" t="str">
        <x:v>FrontDesk-01</x:v>
      </x:c>
      <x:c r="L189" s="113" t="n">
        <x:f>MAX(0,COUNTIFS($A$2:$A$401,A189,$C$2:$C$401,"&lt;"&amp;C189,$E$2:$E$401,"&gt;"&amp;C189)-1)</x:f>
        <x:v>13</x:v>
      </x:c>
      <x:c r="M189" s="113" t="n">
        <x:f>HOUR(C189)</x:f>
        <x:v>9</x:v>
      </x:c>
      <x:c r="N189" s="119" t="n">
        <x:f>ROUND((C189-A189-TIME(8,0,0))*1440,1)</x:f>
        <x:v>77</x:v>
      </x:c>
    </x:row>
    <x:row r="190" ht="18" customHeight="1">
      <x:c r="A190" s="101" t="n">
        <x:v>46134</x:v>
      </x:c>
      <x:c r="B190" s="76" t="str">
        <x:v>P0189</x:v>
      </x:c>
      <x:c r="C190" s="107" t="n">
        <x:v>46134.38693197917</x:v>
      </x:c>
      <x:c r="D190" s="107" t="n">
        <x:v>46134.421990752315</x:v>
      </x:c>
      <x:c r="E190" s="107" t="n">
        <x:v>46134.42490741898</x:v>
      </x:c>
      <x:c r="F190" s="76" t="str">
        <x:v>registration</x:v>
      </x:c>
      <x:c r="G190" s="113" t="n">
        <x:f>ROUND((E190-D190)*1440,1)</x:f>
        <x:v>4.2</x:v>
      </x:c>
      <x:c r="H190" s="113" t="n">
        <x:f>ROUND((D190-C190)*1440,1)</x:f>
        <x:v>50.5</x:v>
      </x:c>
      <x:c r="I190" s="113" t="n">
        <x:f>ROUND((E190-C190)*1440,1)</x:f>
        <x:v>54.7</x:v>
      </x:c>
      <x:c r="J190" s="113" t="n">
        <x:f>IF(A190=A189,ROUND((C190-C189)*1440,1),0)</x:f>
        <x:v>0.2</x:v>
      </x:c>
      <x:c r="K190" s="76" t="str">
        <x:v>FrontDesk-01</x:v>
      </x:c>
      <x:c r="L190" s="113" t="n">
        <x:f>MAX(0,COUNTIFS($A$2:$A$401,A190,$C$2:$C$401,"&lt;"&amp;C190,$E$2:$E$401,"&gt;"&amp;C190)-1)</x:f>
        <x:v>14</x:v>
      </x:c>
      <x:c r="M190" s="113" t="n">
        <x:f>HOUR(C190)</x:f>
        <x:v>9</x:v>
      </x:c>
      <x:c r="N190" s="119" t="n">
        <x:f>ROUND((C190-A190-TIME(8,0,0))*1440,1)</x:f>
        <x:v>77.2</x:v>
      </x:c>
    </x:row>
    <x:row r="191" ht="18" customHeight="1">
      <x:c r="A191" s="101" t="n">
        <x:v>46134</x:v>
      </x:c>
      <x:c r="B191" s="76" t="str">
        <x:v>P0190</x:v>
      </x:c>
      <x:c r="C191" s="107" t="n">
        <x:v>46134.39629064815</x:v>
      </x:c>
      <x:c r="D191" s="107" t="n">
        <x:v>46134.42490741898</x:v>
      </x:c>
      <x:c r="E191" s="107" t="n">
        <x:v>46134.42803241898</x:v>
      </x:c>
      <x:c r="F191" s="76" t="str">
        <x:v>registration</x:v>
      </x:c>
      <x:c r="G191" s="113" t="n">
        <x:f>ROUND((E191-D191)*1440,1)</x:f>
        <x:v>4.5</x:v>
      </x:c>
      <x:c r="H191" s="113" t="n">
        <x:f>ROUND((D191-C191)*1440,1)</x:f>
        <x:v>41.2</x:v>
      </x:c>
      <x:c r="I191" s="113" t="n">
        <x:f>ROUND((E191-C191)*1440,1)</x:f>
        <x:v>45.7</x:v>
      </x:c>
      <x:c r="J191" s="113" t="n">
        <x:f>IF(A191=A190,ROUND((C191-C190)*1440,1),0)</x:f>
        <x:v>13.5</x:v>
      </x:c>
      <x:c r="K191" s="76" t="str">
        <x:v>FrontDesk-01</x:v>
      </x:c>
      <x:c r="L191" s="113" t="n">
        <x:f>MAX(0,COUNTIFS($A$2:$A$401,A191,$C$2:$C$401,"&lt;"&amp;C191,$E$2:$E$401,"&gt;"&amp;C191)-1)</x:f>
        <x:v>11</x:v>
      </x:c>
      <x:c r="M191" s="113" t="n">
        <x:f>HOUR(C191)</x:f>
        <x:v>9</x:v>
      </x:c>
      <x:c r="N191" s="119" t="n">
        <x:f>ROUND((C191-A191-TIME(8,0,0))*1440,1)</x:f>
        <x:v>90.7</x:v>
      </x:c>
    </x:row>
    <x:row r="192" ht="18" customHeight="1">
      <x:c r="A192" s="101" t="n">
        <x:v>46134</x:v>
      </x:c>
      <x:c r="B192" s="76" t="str">
        <x:v>P0191</x:v>
      </x:c>
      <x:c r="C192" s="107" t="n">
        <x:v>46134.419448506946</x:v>
      </x:c>
      <x:c r="D192" s="107" t="n">
        <x:v>46134.42803241898</x:v>
      </x:c>
      <x:c r="E192" s="107" t="n">
        <x:v>46134.428865752314</x:v>
      </x:c>
      <x:c r="F192" s="76" t="str">
        <x:v>inquiry</x:v>
      </x:c>
      <x:c r="G192" s="113" t="n">
        <x:f>ROUND((E192-D192)*1440,1)</x:f>
        <x:v>1.2</x:v>
      </x:c>
      <x:c r="H192" s="113" t="n">
        <x:f>ROUND((D192-C192)*1440,1)</x:f>
        <x:v>12.4</x:v>
      </x:c>
      <x:c r="I192" s="113" t="n">
        <x:f>ROUND((E192-C192)*1440,1)</x:f>
        <x:v>13.6</x:v>
      </x:c>
      <x:c r="J192" s="113" t="n">
        <x:f>IF(A192=A191,ROUND((C192-C191)*1440,1),0)</x:f>
        <x:v>33.3</x:v>
      </x:c>
      <x:c r="K192" s="76" t="str">
        <x:v>FrontDesk-01</x:v>
      </x:c>
      <x:c r="L192" s="113" t="n">
        <x:f>MAX(0,COUNTIFS($A$2:$A$401,A192,$C$2:$C$401,"&lt;"&amp;C192,$E$2:$E$401,"&gt;"&amp;C192)-1)</x:f>
        <x:v>3</x:v>
      </x:c>
      <x:c r="M192" s="113" t="n">
        <x:f>HOUR(C192)</x:f>
        <x:v>10</x:v>
      </x:c>
      <x:c r="N192" s="119" t="n">
        <x:f>ROUND((C192-A192-TIME(8,0,0))*1440,1)</x:f>
        <x:v>124</x:v>
      </x:c>
    </x:row>
    <x:row r="193" ht="18" customHeight="1">
      <x:c r="A193" s="101" t="n">
        <x:v>46134</x:v>
      </x:c>
      <x:c r="B193" s="76" t="str">
        <x:v>P0192</x:v>
      </x:c>
      <x:c r="C193" s="107" t="n">
        <x:v>46134.43367864583</x:v>
      </x:c>
      <x:c r="D193" s="107" t="n">
        <x:v>46134.43367864583</x:v>
      </x:c>
      <x:c r="E193" s="107" t="n">
        <x:v>46134.434650868054</x:v>
      </x:c>
      <x:c r="F193" s="76" t="str">
        <x:v>report_collection</x:v>
      </x:c>
      <x:c r="G193" s="113" t="n">
        <x:f>ROUND((E193-D193)*1440,1)</x:f>
        <x:v>1.4</x:v>
      </x:c>
      <x:c r="H193" s="113" t="n">
        <x:f>ROUND((D193-C193)*1440,1)</x:f>
        <x:v>0</x:v>
      </x:c>
      <x:c r="I193" s="113" t="n">
        <x:f>ROUND((E193-C193)*1440,1)</x:f>
        <x:v>1.4</x:v>
      </x:c>
      <x:c r="J193" s="113" t="n">
        <x:f>IF(A193=A192,ROUND((C193-C192)*1440,1),0)</x:f>
        <x:v>20.5</x:v>
      </x:c>
      <x:c r="K193" s="76" t="str">
        <x:v>FrontDesk-01</x:v>
      </x:c>
      <x:c r="L193" s="113" t="n">
        <x:f>MAX(0,COUNTIFS($A$2:$A$401,A193,$C$2:$C$401,"&lt;"&amp;C193,$E$2:$E$401,"&gt;"&amp;C193)-1)</x:f>
        <x:v>0</x:v>
      </x:c>
      <x:c r="M193" s="113" t="n">
        <x:f>HOUR(C193)</x:f>
        <x:v>10</x:v>
      </x:c>
      <x:c r="N193" s="119" t="n">
        <x:f>ROUND((C193-A193-TIME(8,0,0))*1440,1)</x:f>
        <x:v>144.5</x:v>
      </x:c>
    </x:row>
    <x:row r="194" ht="18" customHeight="1">
      <x:c r="A194" s="101" t="n">
        <x:v>46134</x:v>
      </x:c>
      <x:c r="B194" s="76" t="str">
        <x:v>P0193</x:v>
      </x:c>
      <x:c r="C194" s="107" t="n">
        <x:v>46134.43423385417</x:v>
      </x:c>
      <x:c r="D194" s="107" t="n">
        <x:v>46134.434650868054</x:v>
      </x:c>
      <x:c r="E194" s="107" t="n">
        <x:v>46134.437567534726</x:v>
      </x:c>
      <x:c r="F194" s="76" t="str">
        <x:v>registration</x:v>
      </x:c>
      <x:c r="G194" s="113" t="n">
        <x:f>ROUND((E194-D194)*1440,1)</x:f>
        <x:v>4.2</x:v>
      </x:c>
      <x:c r="H194" s="113" t="n">
        <x:f>ROUND((D194-C194)*1440,1)</x:f>
        <x:v>0.6</x:v>
      </x:c>
      <x:c r="I194" s="113" t="n">
        <x:f>ROUND((E194-C194)*1440,1)</x:f>
        <x:v>4.8</x:v>
      </x:c>
      <x:c r="J194" s="113" t="n">
        <x:f>IF(A194=A193,ROUND((C194-C193)*1440,1),0)</x:f>
        <x:v>0.8</x:v>
      </x:c>
      <x:c r="K194" s="76" t="str">
        <x:v>FrontDesk-01</x:v>
      </x:c>
      <x:c r="L194" s="113" t="n">
        <x:f>MAX(0,COUNTIFS($A$2:$A$401,A194,$C$2:$C$401,"&lt;"&amp;C194,$E$2:$E$401,"&gt;"&amp;C194)-1)</x:f>
        <x:v>0</x:v>
      </x:c>
      <x:c r="M194" s="113" t="n">
        <x:f>HOUR(C194)</x:f>
        <x:v>10</x:v>
      </x:c>
      <x:c r="N194" s="119" t="n">
        <x:f>ROUND((C194-A194-TIME(8,0,0))*1440,1)</x:f>
        <x:v>145.3</x:v>
      </x:c>
    </x:row>
    <x:row r="195" ht="18" customHeight="1">
      <x:c r="A195" s="101" t="n">
        <x:v>46134</x:v>
      </x:c>
      <x:c r="B195" s="76" t="str">
        <x:v>P0194</x:v>
      </x:c>
      <x:c r="C195" s="107" t="n">
        <x:v>46134.442928032404</x:v>
      </x:c>
      <x:c r="D195" s="107" t="n">
        <x:v>46134.442928032404</x:v>
      </x:c>
      <x:c r="E195" s="107" t="n">
        <x:v>46134.4461919213</x:v>
      </x:c>
      <x:c r="F195" s="76" t="str">
        <x:v>sample_submission</x:v>
      </x:c>
      <x:c r="G195" s="113" t="n">
        <x:f>ROUND((E195-D195)*1440,1)</x:f>
        <x:v>4.7</x:v>
      </x:c>
      <x:c r="H195" s="113" t="n">
        <x:f>ROUND((D195-C195)*1440,1)</x:f>
        <x:v>0</x:v>
      </x:c>
      <x:c r="I195" s="113" t="n">
        <x:f>ROUND((E195-C195)*1440,1)</x:f>
        <x:v>4.7</x:v>
      </x:c>
      <x:c r="J195" s="113" t="n">
        <x:f>IF(A195=A194,ROUND((C195-C194)*1440,1),0)</x:f>
        <x:v>12.5</x:v>
      </x:c>
      <x:c r="K195" s="76" t="str">
        <x:v>FrontDesk-01</x:v>
      </x:c>
      <x:c r="L195" s="113" t="n">
        <x:f>MAX(0,COUNTIFS($A$2:$A$401,A195,$C$2:$C$401,"&lt;"&amp;C195,$E$2:$E$401,"&gt;"&amp;C195)-1)</x:f>
        <x:v>0</x:v>
      </x:c>
      <x:c r="M195" s="113" t="n">
        <x:f>HOUR(C195)</x:f>
        <x:v>10</x:v>
      </x:c>
      <x:c r="N195" s="119" t="n">
        <x:f>ROUND((C195-A195-TIME(8,0,0))*1440,1)</x:f>
        <x:v>157.8</x:v>
      </x:c>
    </x:row>
    <x:row r="196" ht="18" customHeight="1">
      <x:c r="A196" s="101" t="n">
        <x:v>46134</x:v>
      </x:c>
      <x:c r="B196" s="76" t="str">
        <x:v>P0195</x:v>
      </x:c>
      <x:c r="C196" s="107" t="n">
        <x:v>46134.444827060186</x:v>
      </x:c>
      <x:c r="D196" s="107" t="n">
        <x:v>46134.4461919213</x:v>
      </x:c>
      <x:c r="E196" s="107" t="n">
        <x:v>46134.447164143516</x:v>
      </x:c>
      <x:c r="F196" s="76" t="str">
        <x:v>report_collection</x:v>
      </x:c>
      <x:c r="G196" s="113" t="n">
        <x:f>ROUND((E196-D196)*1440,1)</x:f>
        <x:v>1.4</x:v>
      </x:c>
      <x:c r="H196" s="113" t="n">
        <x:f>ROUND((D196-C196)*1440,1)</x:f>
        <x:v>2</x:v>
      </x:c>
      <x:c r="I196" s="113" t="n">
        <x:f>ROUND((E196-C196)*1440,1)</x:f>
        <x:v>3.4</x:v>
      </x:c>
      <x:c r="J196" s="113" t="n">
        <x:f>IF(A196=A195,ROUND((C196-C195)*1440,1),0)</x:f>
        <x:v>2.7</x:v>
      </x:c>
      <x:c r="K196" s="76" t="str">
        <x:v>FrontDesk-01</x:v>
      </x:c>
      <x:c r="L196" s="113" t="n">
        <x:f>MAX(0,COUNTIFS($A$2:$A$401,A196,$C$2:$C$401,"&lt;"&amp;C196,$E$2:$E$401,"&gt;"&amp;C196)-1)</x:f>
        <x:v>0</x:v>
      </x:c>
      <x:c r="M196" s="113" t="n">
        <x:f>HOUR(C196)</x:f>
        <x:v>10</x:v>
      </x:c>
      <x:c r="N196" s="119" t="n">
        <x:f>ROUND((C196-A196-TIME(8,0,0))*1440,1)</x:f>
        <x:v>160.6</x:v>
      </x:c>
    </x:row>
    <x:row r="197" ht="18" customHeight="1">
      <x:c r="A197" s="101" t="n">
        <x:v>46134</x:v>
      </x:c>
      <x:c r="B197" s="76" t="str">
        <x:v>P0196</x:v>
      </x:c>
      <x:c r="C197" s="107" t="n">
        <x:v>46134.445960972225</x:v>
      </x:c>
      <x:c r="D197" s="107" t="n">
        <x:v>46134.447164143516</x:v>
      </x:c>
      <x:c r="E197" s="107" t="n">
        <x:v>46134.44945581019</x:v>
      </x:c>
      <x:c r="F197" s="76" t="str">
        <x:v>registration</x:v>
      </x:c>
      <x:c r="G197" s="113" t="n">
        <x:f>ROUND((E197-D197)*1440,1)</x:f>
        <x:v>3.3</x:v>
      </x:c>
      <x:c r="H197" s="113" t="n">
        <x:f>ROUND((D197-C197)*1440,1)</x:f>
        <x:v>1.7</x:v>
      </x:c>
      <x:c r="I197" s="113" t="n">
        <x:f>ROUND((E197-C197)*1440,1)</x:f>
        <x:v>5</x:v>
      </x:c>
      <x:c r="J197" s="113" t="n">
        <x:f>IF(A197=A196,ROUND((C197-C196)*1440,1),0)</x:f>
        <x:v>1.6</x:v>
      </x:c>
      <x:c r="K197" s="76" t="str">
        <x:v>FrontDesk-01</x:v>
      </x:c>
      <x:c r="L197" s="113" t="n">
        <x:f>MAX(0,COUNTIFS($A$2:$A$401,A197,$C$2:$C$401,"&lt;"&amp;C197,$E$2:$E$401,"&gt;"&amp;C197)-1)</x:f>
        <x:v>1</x:v>
      </x:c>
      <x:c r="M197" s="113" t="n">
        <x:f>HOUR(C197)</x:f>
        <x:v>10</x:v>
      </x:c>
      <x:c r="N197" s="119" t="n">
        <x:f>ROUND((C197-A197-TIME(8,0,0))*1440,1)</x:f>
        <x:v>162.2</x:v>
      </x:c>
    </x:row>
    <x:row r="198" ht="18" customHeight="1">
      <x:c r="A198" s="101" t="n">
        <x:v>46134</x:v>
      </x:c>
      <x:c r="B198" s="76" t="str">
        <x:v>P0197</x:v>
      </x:c>
      <x:c r="C198" s="107" t="n">
        <x:v>46134.44769787037</x:v>
      </x:c>
      <x:c r="D198" s="107" t="n">
        <x:v>46134.44945581019</x:v>
      </x:c>
      <x:c r="E198" s="107" t="n">
        <x:v>46134.45042803241</x:v>
      </x:c>
      <x:c r="F198" s="76" t="str">
        <x:v>report_collection</x:v>
      </x:c>
      <x:c r="G198" s="113" t="n">
        <x:f>ROUND((E198-D198)*1440,1)</x:f>
        <x:v>1.4</x:v>
      </x:c>
      <x:c r="H198" s="113" t="n">
        <x:f>ROUND((D198-C198)*1440,1)</x:f>
        <x:v>2.5</x:v>
      </x:c>
      <x:c r="I198" s="113" t="n">
        <x:f>ROUND((E198-C198)*1440,1)</x:f>
        <x:v>3.9</x:v>
      </x:c>
      <x:c r="J198" s="113" t="n">
        <x:f>IF(A198=A197,ROUND((C198-C197)*1440,1),0)</x:f>
        <x:v>2.5</x:v>
      </x:c>
      <x:c r="K198" s="76" t="str">
        <x:v>FrontDesk-01</x:v>
      </x:c>
      <x:c r="L198" s="113" t="n">
        <x:f>MAX(0,COUNTIFS($A$2:$A$401,A198,$C$2:$C$401,"&lt;"&amp;C198,$E$2:$E$401,"&gt;"&amp;C198)-1)</x:f>
        <x:v>0</x:v>
      </x:c>
      <x:c r="M198" s="113" t="n">
        <x:f>HOUR(C198)</x:f>
        <x:v>10</x:v>
      </x:c>
      <x:c r="N198" s="119" t="n">
        <x:f>ROUND((C198-A198-TIME(8,0,0))*1440,1)</x:f>
        <x:v>164.7</x:v>
      </x:c>
    </x:row>
    <x:row r="199" ht="18" customHeight="1">
      <x:c r="A199" s="101" t="n">
        <x:v>46134</x:v>
      </x:c>
      <x:c r="B199" s="76" t="str">
        <x:v>P0198</x:v>
      </x:c>
      <x:c r="C199" s="107" t="n">
        <x:v>46134.44858496528</x:v>
      </x:c>
      <x:c r="D199" s="107" t="n">
        <x:v>46134.45042803241</x:v>
      </x:c>
      <x:c r="E199" s="107" t="n">
        <x:v>46134.45202525463</x:v>
      </x:c>
      <x:c r="F199" s="76" t="str">
        <x:v>report_collection</x:v>
      </x:c>
      <x:c r="G199" s="113" t="n">
        <x:f>ROUND((E199-D199)*1440,1)</x:f>
        <x:v>2.3</x:v>
      </x:c>
      <x:c r="H199" s="113" t="n">
        <x:f>ROUND((D199-C199)*1440,1)</x:f>
        <x:v>2.7</x:v>
      </x:c>
      <x:c r="I199" s="113" t="n">
        <x:f>ROUND((E199-C199)*1440,1)</x:f>
        <x:v>5</x:v>
      </x:c>
      <x:c r="J199" s="113" t="n">
        <x:f>IF(A199=A198,ROUND((C199-C198)*1440,1),0)</x:f>
        <x:v>1.3</x:v>
      </x:c>
      <x:c r="K199" s="76" t="str">
        <x:v>FrontDesk-01</x:v>
      </x:c>
      <x:c r="L199" s="113" t="n">
        <x:f>MAX(0,COUNTIFS($A$2:$A$401,A199,$C$2:$C$401,"&lt;"&amp;C199,$E$2:$E$401,"&gt;"&amp;C199)-1)</x:f>
        <x:v>1</x:v>
      </x:c>
      <x:c r="M199" s="113" t="n">
        <x:f>HOUR(C199)</x:f>
        <x:v>10</x:v>
      </x:c>
      <x:c r="N199" s="119" t="n">
        <x:f>ROUND((C199-A199-TIME(8,0,0))*1440,1)</x:f>
        <x:v>166</x:v>
      </x:c>
    </x:row>
    <x:row r="200" ht="18" customHeight="1">
      <x:c r="A200" s="101" t="n">
        <x:v>46134</x:v>
      </x:c>
      <x:c r="B200" s="76" t="str">
        <x:v>P0199</x:v>
      </x:c>
      <x:c r="C200" s="107" t="n">
        <x:v>46134.4574750463</x:v>
      </x:c>
      <x:c r="D200" s="107" t="n">
        <x:v>46134.4574750463</x:v>
      </x:c>
      <x:c r="E200" s="107" t="n">
        <x:v>46134.460600046295</x:v>
      </x:c>
      <x:c r="F200" s="76" t="str">
        <x:v>registration</x:v>
      </x:c>
      <x:c r="G200" s="113" t="n">
        <x:f>ROUND((E200-D200)*1440,1)</x:f>
        <x:v>4.5</x:v>
      </x:c>
      <x:c r="H200" s="113" t="n">
        <x:f>ROUND((D200-C200)*1440,1)</x:f>
        <x:v>0</x:v>
      </x:c>
      <x:c r="I200" s="113" t="n">
        <x:f>ROUND((E200-C200)*1440,1)</x:f>
        <x:v>4.5</x:v>
      </x:c>
      <x:c r="J200" s="113" t="n">
        <x:f>IF(A200=A199,ROUND((C200-C199)*1440,1),0)</x:f>
        <x:v>12.8</x:v>
      </x:c>
      <x:c r="K200" s="76" t="str">
        <x:v>FrontDesk-01</x:v>
      </x:c>
      <x:c r="L200" s="113" t="n">
        <x:f>MAX(0,COUNTIFS($A$2:$A$401,A200,$C$2:$C$401,"&lt;"&amp;C200,$E$2:$E$401,"&gt;"&amp;C200)-1)</x:f>
        <x:v>0</x:v>
      </x:c>
      <x:c r="M200" s="113" t="n">
        <x:f>HOUR(C200)</x:f>
        <x:v>10</x:v>
      </x:c>
      <x:c r="N200" s="119" t="n">
        <x:f>ROUND((C200-A200-TIME(8,0,0))*1440,1)</x:f>
        <x:v>178.8</x:v>
      </x:c>
    </x:row>
    <x:row r="201" ht="18" customHeight="1">
      <x:c r="A201" s="101" t="n">
        <x:v>46134</x:v>
      </x:c>
      <x:c r="B201" s="76" t="str">
        <x:v>P0200</x:v>
      </x:c>
      <x:c r="C201" s="107" t="n">
        <x:v>46134.458192349535</x:v>
      </x:c>
      <x:c r="D201" s="107" t="n">
        <x:v>46134.460600046295</x:v>
      </x:c>
      <x:c r="E201" s="107" t="n">
        <x:v>46134.46455837963</x:v>
      </x:c>
      <x:c r="F201" s="76" t="str">
        <x:v>registration</x:v>
      </x:c>
      <x:c r="G201" s="113" t="n">
        <x:f>ROUND((E201-D201)*1440,1)</x:f>
        <x:v>5.7</x:v>
      </x:c>
      <x:c r="H201" s="113" t="n">
        <x:f>ROUND((D201-C201)*1440,1)</x:f>
        <x:v>3.5</x:v>
      </x:c>
      <x:c r="I201" s="113" t="n">
        <x:f>ROUND((E201-C201)*1440,1)</x:f>
        <x:v>9.2</x:v>
      </x:c>
      <x:c r="J201" s="113" t="n">
        <x:f>IF(A201=A200,ROUND((C201-C200)*1440,1),0)</x:f>
        <x:v>1</x:v>
      </x:c>
      <x:c r="K201" s="76" t="str">
        <x:v>FrontDesk-01</x:v>
      </x:c>
      <x:c r="L201" s="113" t="n">
        <x:f>MAX(0,COUNTIFS($A$2:$A$401,A201,$C$2:$C$401,"&lt;"&amp;C201,$E$2:$E$401,"&gt;"&amp;C201)-1)</x:f>
        <x:v>0</x:v>
      </x:c>
      <x:c r="M201" s="113" t="n">
        <x:f>HOUR(C201)</x:f>
        <x:v>10</x:v>
      </x:c>
      <x:c r="N201" s="119" t="n">
        <x:f>ROUND((C201-A201-TIME(8,0,0))*1440,1)</x:f>
        <x:v>179.8</x:v>
      </x:c>
    </x:row>
    <x:row r="202" ht="18" customHeight="1">
      <x:c r="A202" s="101" t="n">
        <x:v>46134</x:v>
      </x:c>
      <x:c r="B202" s="76" t="str">
        <x:v>P0201</x:v>
      </x:c>
      <x:c r="C202" s="107" t="n">
        <x:v>46134.46089643519</x:v>
      </x:c>
      <x:c r="D202" s="107" t="n">
        <x:v>46134.46455837963</x:v>
      </x:c>
      <x:c r="E202" s="107" t="n">
        <x:v>46134.46705837963</x:v>
      </x:c>
      <x:c r="F202" s="76" t="str">
        <x:v>registration</x:v>
      </x:c>
      <x:c r="G202" s="113" t="n">
        <x:f>ROUND((E202-D202)*1440,1)</x:f>
        <x:v>3.6</x:v>
      </x:c>
      <x:c r="H202" s="113" t="n">
        <x:f>ROUND((D202-C202)*1440,1)</x:f>
        <x:v>5.3</x:v>
      </x:c>
      <x:c r="I202" s="113" t="n">
        <x:f>ROUND((E202-C202)*1440,1)</x:f>
        <x:v>8.9</x:v>
      </x:c>
      <x:c r="J202" s="113" t="n">
        <x:f>IF(A202=A201,ROUND((C202-C201)*1440,1),0)</x:f>
        <x:v>3.9</x:v>
      </x:c>
      <x:c r="K202" s="76" t="str">
        <x:v>FrontDesk-01</x:v>
      </x:c>
      <x:c r="L202" s="113" t="n">
        <x:f>MAX(0,COUNTIFS($A$2:$A$401,A202,$C$2:$C$401,"&lt;"&amp;C202,$E$2:$E$401,"&gt;"&amp;C202)-1)</x:f>
        <x:v>0</x:v>
      </x:c>
      <x:c r="M202" s="113" t="n">
        <x:f>HOUR(C202)</x:f>
        <x:v>11</x:v>
      </x:c>
      <x:c r="N202" s="119" t="n">
        <x:f>ROUND((C202-A202-TIME(8,0,0))*1440,1)</x:f>
        <x:v>183.7</x:v>
      </x:c>
    </x:row>
    <x:row r="203" ht="18" customHeight="1">
      <x:c r="A203" s="101" t="n">
        <x:v>46134</x:v>
      </x:c>
      <x:c r="B203" s="76" t="str">
        <x:v>P0202</x:v>
      </x:c>
      <x:c r="C203" s="107" t="n">
        <x:v>46134.47283168982</x:v>
      </x:c>
      <x:c r="D203" s="107" t="n">
        <x:v>46134.47283168982</x:v>
      </x:c>
      <x:c r="E203" s="107" t="n">
        <x:v>46134.47540113426</x:v>
      </x:c>
      <x:c r="F203" s="76" t="str">
        <x:v>sample_submission</x:v>
      </x:c>
      <x:c r="G203" s="113" t="n">
        <x:f>ROUND((E203-D203)*1440,1)</x:f>
        <x:v>3.7</x:v>
      </x:c>
      <x:c r="H203" s="113" t="n">
        <x:f>ROUND((D203-C203)*1440,1)</x:f>
        <x:v>0</x:v>
      </x:c>
      <x:c r="I203" s="113" t="n">
        <x:f>ROUND((E203-C203)*1440,1)</x:f>
        <x:v>3.7</x:v>
      </x:c>
      <x:c r="J203" s="113" t="n">
        <x:f>IF(A203=A202,ROUND((C203-C202)*1440,1),0)</x:f>
        <x:v>17.2</x:v>
      </x:c>
      <x:c r="K203" s="76" t="str">
        <x:v>FrontDesk-01</x:v>
      </x:c>
      <x:c r="L203" s="113" t="n">
        <x:f>MAX(0,COUNTIFS($A$2:$A$401,A203,$C$2:$C$401,"&lt;"&amp;C203,$E$2:$E$401,"&gt;"&amp;C203)-1)</x:f>
        <x:v>0</x:v>
      </x:c>
      <x:c r="M203" s="113" t="n">
        <x:f>HOUR(C203)</x:f>
        <x:v>11</x:v>
      </x:c>
      <x:c r="N203" s="119" t="n">
        <x:f>ROUND((C203-A203-TIME(8,0,0))*1440,1)</x:f>
        <x:v>200.9</x:v>
      </x:c>
    </x:row>
    <x:row r="204" ht="18" customHeight="1">
      <x:c r="A204" s="101" t="n">
        <x:v>46134</x:v>
      </x:c>
      <x:c r="B204" s="76" t="str">
        <x:v>P0203</x:v>
      </x:c>
      <x:c r="C204" s="107" t="n">
        <x:v>46134.47986334491</x:v>
      </x:c>
      <x:c r="D204" s="107" t="n">
        <x:v>46134.47986334491</x:v>
      </x:c>
      <x:c r="E204" s="107" t="n">
        <x:v>46134.480627233796</x:v>
      </x:c>
      <x:c r="F204" s="76" t="str">
        <x:v>inquiry</x:v>
      </x:c>
      <x:c r="G204" s="113" t="n">
        <x:f>ROUND((E204-D204)*1440,1)</x:f>
        <x:v>1.1</x:v>
      </x:c>
      <x:c r="H204" s="113" t="n">
        <x:f>ROUND((D204-C204)*1440,1)</x:f>
        <x:v>0</x:v>
      </x:c>
      <x:c r="I204" s="113" t="n">
        <x:f>ROUND((E204-C204)*1440,1)</x:f>
        <x:v>1.1</x:v>
      </x:c>
      <x:c r="J204" s="113" t="n">
        <x:f>IF(A204=A203,ROUND((C204-C203)*1440,1),0)</x:f>
        <x:v>10.1</x:v>
      </x:c>
      <x:c r="K204" s="76" t="str">
        <x:v>FrontDesk-01</x:v>
      </x:c>
      <x:c r="L204" s="113" t="n">
        <x:f>MAX(0,COUNTIFS($A$2:$A$401,A204,$C$2:$C$401,"&lt;"&amp;C204,$E$2:$E$401,"&gt;"&amp;C204)-1)</x:f>
        <x:v>0</x:v>
      </x:c>
      <x:c r="M204" s="113" t="n">
        <x:f>HOUR(C204)</x:f>
        <x:v>11</x:v>
      </x:c>
      <x:c r="N204" s="119" t="n">
        <x:f>ROUND((C204-A204-TIME(8,0,0))*1440,1)</x:f>
        <x:v>211</x:v>
      </x:c>
    </x:row>
    <x:row r="205" ht="18" customHeight="1">
      <x:c r="A205" s="101" t="n">
        <x:v>46134</x:v>
      </x:c>
      <x:c r="B205" s="76" t="str">
        <x:v>P0204</x:v>
      </x:c>
      <x:c r="C205" s="107" t="n">
        <x:v>46134.48560211805</x:v>
      </x:c>
      <x:c r="D205" s="107" t="n">
        <x:v>46134.48560211805</x:v>
      </x:c>
      <x:c r="E205" s="107" t="n">
        <x:v>46134.48650489583</x:v>
      </x:c>
      <x:c r="F205" s="76" t="str">
        <x:v>report_collection</x:v>
      </x:c>
      <x:c r="G205" s="113" t="n">
        <x:f>ROUND((E205-D205)*1440,1)</x:f>
        <x:v>1.3</x:v>
      </x:c>
      <x:c r="H205" s="113" t="n">
        <x:f>ROUND((D205-C205)*1440,1)</x:f>
        <x:v>0</x:v>
      </x:c>
      <x:c r="I205" s="113" t="n">
        <x:f>ROUND((E205-C205)*1440,1)</x:f>
        <x:v>1.3</x:v>
      </x:c>
      <x:c r="J205" s="113" t="n">
        <x:f>IF(A205=A204,ROUND((C205-C204)*1440,1),0)</x:f>
        <x:v>8.3</x:v>
      </x:c>
      <x:c r="K205" s="76" t="str">
        <x:v>FrontDesk-01</x:v>
      </x:c>
      <x:c r="L205" s="113" t="n">
        <x:f>MAX(0,COUNTIFS($A$2:$A$401,A205,$C$2:$C$401,"&lt;"&amp;C205,$E$2:$E$401,"&gt;"&amp;C205)-1)</x:f>
        <x:v>0</x:v>
      </x:c>
      <x:c r="M205" s="113" t="n">
        <x:f>HOUR(C205)</x:f>
        <x:v>11</x:v>
      </x:c>
      <x:c r="N205" s="119" t="n">
        <x:f>ROUND((C205-A205-TIME(8,0,0))*1440,1)</x:f>
        <x:v>219.3</x:v>
      </x:c>
    </x:row>
    <x:row r="206" ht="18" customHeight="1">
      <x:c r="A206" s="101" t="n">
        <x:v>46134</x:v>
      </x:c>
      <x:c r="B206" s="76" t="str">
        <x:v>P0205</x:v>
      </x:c>
      <x:c r="C206" s="107" t="n">
        <x:v>46134.4947837963</x:v>
      </x:c>
      <x:c r="D206" s="107" t="n">
        <x:v>46134.4947837963</x:v>
      </x:c>
      <x:c r="E206" s="107" t="n">
        <x:v>46134.49749212963</x:v>
      </x:c>
      <x:c r="F206" s="76" t="str">
        <x:v>registration</x:v>
      </x:c>
      <x:c r="G206" s="113" t="n">
        <x:f>ROUND((E206-D206)*1440,1)</x:f>
        <x:v>3.9</x:v>
      </x:c>
      <x:c r="H206" s="113" t="n">
        <x:f>ROUND((D206-C206)*1440,1)</x:f>
        <x:v>0</x:v>
      </x:c>
      <x:c r="I206" s="113" t="n">
        <x:f>ROUND((E206-C206)*1440,1)</x:f>
        <x:v>3.9</x:v>
      </x:c>
      <x:c r="J206" s="113" t="n">
        <x:f>IF(A206=A205,ROUND((C206-C205)*1440,1),0)</x:f>
        <x:v>13.2</x:v>
      </x:c>
      <x:c r="K206" s="76" t="str">
        <x:v>FrontDesk-01</x:v>
      </x:c>
      <x:c r="L206" s="113" t="n">
        <x:f>MAX(0,COUNTIFS($A$2:$A$401,A206,$C$2:$C$401,"&lt;"&amp;C206,$E$2:$E$401,"&gt;"&amp;C206)-1)</x:f>
        <x:v>0</x:v>
      </x:c>
      <x:c r="M206" s="113" t="n">
        <x:f>HOUR(C206)</x:f>
        <x:v>11</x:v>
      </x:c>
      <x:c r="N206" s="119" t="n">
        <x:f>ROUND((C206-A206-TIME(8,0,0))*1440,1)</x:f>
        <x:v>232.5</x:v>
      </x:c>
    </x:row>
    <x:row r="207" ht="18" customHeight="1">
      <x:c r="A207" s="101" t="n">
        <x:v>46134</x:v>
      </x:c>
      <x:c r="B207" s="76" t="str">
        <x:v>P0206</x:v>
      </x:c>
      <x:c r="C207" s="107" t="n">
        <x:v>46134.51136229167</x:v>
      </x:c>
      <x:c r="D207" s="107" t="n">
        <x:v>46134.51136229167</x:v>
      </x:c>
      <x:c r="E207" s="107" t="n">
        <x:v>46134.514417847226</x:v>
      </x:c>
      <x:c r="F207" s="76" t="str">
        <x:v>registration</x:v>
      </x:c>
      <x:c r="G207" s="113" t="n">
        <x:f>ROUND((E207-D207)*1440,1)</x:f>
        <x:v>4.4</x:v>
      </x:c>
      <x:c r="H207" s="113" t="n">
        <x:f>ROUND((D207-C207)*1440,1)</x:f>
        <x:v>0</x:v>
      </x:c>
      <x:c r="I207" s="113" t="n">
        <x:f>ROUND((E207-C207)*1440,1)</x:f>
        <x:v>4.4</x:v>
      </x:c>
      <x:c r="J207" s="113" t="n">
        <x:f>IF(A207=A206,ROUND((C207-C206)*1440,1),0)</x:f>
        <x:v>23.9</x:v>
      </x:c>
      <x:c r="K207" s="76" t="str">
        <x:v>FrontDesk-01</x:v>
      </x:c>
      <x:c r="L207" s="113" t="n">
        <x:f>MAX(0,COUNTIFS($A$2:$A$401,A207,$C$2:$C$401,"&lt;"&amp;C207,$E$2:$E$401,"&gt;"&amp;C207)-1)</x:f>
        <x:v>0</x:v>
      </x:c>
      <x:c r="M207" s="113" t="n">
        <x:f>HOUR(C207)</x:f>
        <x:v>12</x:v>
      </x:c>
      <x:c r="N207" s="119" t="n">
        <x:f>ROUND((C207-A207-TIME(8,0,0))*1440,1)</x:f>
        <x:v>256.4</x:v>
      </x:c>
    </x:row>
    <x:row r="208" ht="18" customHeight="1">
      <x:c r="A208" s="101" t="n">
        <x:v>46134</x:v>
      </x:c>
      <x:c r="B208" s="76" t="str">
        <x:v>P0207</x:v>
      </x:c>
      <x:c r="C208" s="107" t="n">
        <x:v>46134.5130041088</x:v>
      </x:c>
      <x:c r="D208" s="107" t="n">
        <x:v>46134.514417847226</x:v>
      </x:c>
      <x:c r="E208" s="107" t="n">
        <x:v>46134.517403958336</x:v>
      </x:c>
      <x:c r="F208" s="76" t="str">
        <x:v>registration</x:v>
      </x:c>
      <x:c r="G208" s="113" t="n">
        <x:f>ROUND((E208-D208)*1440,1)</x:f>
        <x:v>4.3</x:v>
      </x:c>
      <x:c r="H208" s="113" t="n">
        <x:f>ROUND((D208-C208)*1440,1)</x:f>
        <x:v>2</x:v>
      </x:c>
      <x:c r="I208" s="113" t="n">
        <x:f>ROUND((E208-C208)*1440,1)</x:f>
        <x:v>6.3</x:v>
      </x:c>
      <x:c r="J208" s="113" t="n">
        <x:f>IF(A208=A207,ROUND((C208-C207)*1440,1),0)</x:f>
        <x:v>2.4</x:v>
      </x:c>
      <x:c r="K208" s="76" t="str">
        <x:v>FrontDesk-01</x:v>
      </x:c>
      <x:c r="L208" s="113" t="n">
        <x:f>MAX(0,COUNTIFS($A$2:$A$401,A208,$C$2:$C$401,"&lt;"&amp;C208,$E$2:$E$401,"&gt;"&amp;C208)-1)</x:f>
        <x:v>0</x:v>
      </x:c>
      <x:c r="M208" s="113" t="n">
        <x:f>HOUR(C208)</x:f>
        <x:v>12</x:v>
      </x:c>
      <x:c r="N208" s="119" t="n">
        <x:f>ROUND((C208-A208-TIME(8,0,0))*1440,1)</x:f>
        <x:v>258.7</x:v>
      </x:c>
    </x:row>
    <x:row r="209" ht="18" customHeight="1">
      <x:c r="A209" s="101" t="n">
        <x:v>46134</x:v>
      </x:c>
      <x:c r="B209" s="76" t="str">
        <x:v>P0208</x:v>
      </x:c>
      <x:c r="C209" s="107" t="n">
        <x:v>46134.52237158565</x:v>
      </x:c>
      <x:c r="D209" s="107" t="n">
        <x:v>46134.52237158565</x:v>
      </x:c>
      <x:c r="E209" s="107" t="n">
        <x:v>46134.523274363426</x:v>
      </x:c>
      <x:c r="F209" s="76" t="str">
        <x:v>inquiry</x:v>
      </x:c>
      <x:c r="G209" s="113" t="n">
        <x:f>ROUND((E209-D209)*1440,1)</x:f>
        <x:v>1.3</x:v>
      </x:c>
      <x:c r="H209" s="113" t="n">
        <x:f>ROUND((D209-C209)*1440,1)</x:f>
        <x:v>0</x:v>
      </x:c>
      <x:c r="I209" s="113" t="n">
        <x:f>ROUND((E209-C209)*1440,1)</x:f>
        <x:v>1.3</x:v>
      </x:c>
      <x:c r="J209" s="113" t="n">
        <x:f>IF(A209=A208,ROUND((C209-C208)*1440,1),0)</x:f>
        <x:v>13.5</x:v>
      </x:c>
      <x:c r="K209" s="76" t="str">
        <x:v>FrontDesk-01</x:v>
      </x:c>
      <x:c r="L209" s="113" t="n">
        <x:f>MAX(0,COUNTIFS($A$2:$A$401,A209,$C$2:$C$401,"&lt;"&amp;C209,$E$2:$E$401,"&gt;"&amp;C209)-1)</x:f>
        <x:v>0</x:v>
      </x:c>
      <x:c r="M209" s="113" t="n">
        <x:f>HOUR(C209)</x:f>
        <x:v>12</x:v>
      </x:c>
      <x:c r="N209" s="119" t="n">
        <x:f>ROUND((C209-A209-TIME(8,0,0))*1440,1)</x:f>
        <x:v>272.2</x:v>
      </x:c>
    </x:row>
    <x:row r="210" ht="18" customHeight="1">
      <x:c r="A210" s="101" t="n">
        <x:v>46134</x:v>
      </x:c>
      <x:c r="B210" s="76" t="str">
        <x:v>P0209</x:v>
      </x:c>
      <x:c r="C210" s="107" t="n">
        <x:v>46134.52413521991</x:v>
      </x:c>
      <x:c r="D210" s="107" t="n">
        <x:v>46134.52413521991</x:v>
      </x:c>
      <x:c r="E210" s="107" t="n">
        <x:v>46134.52712133102</x:v>
      </x:c>
      <x:c r="F210" s="76" t="str">
        <x:v>registration</x:v>
      </x:c>
      <x:c r="G210" s="113" t="n">
        <x:f>ROUND((E210-D210)*1440,1)</x:f>
        <x:v>4.3</x:v>
      </x:c>
      <x:c r="H210" s="113" t="n">
        <x:f>ROUND((D210-C210)*1440,1)</x:f>
        <x:v>0</x:v>
      </x:c>
      <x:c r="I210" s="113" t="n">
        <x:f>ROUND((E210-C210)*1440,1)</x:f>
        <x:v>4.3</x:v>
      </x:c>
      <x:c r="J210" s="113" t="n">
        <x:f>IF(A210=A209,ROUND((C210-C209)*1440,1),0)</x:f>
        <x:v>2.5</x:v>
      </x:c>
      <x:c r="K210" s="76" t="str">
        <x:v>FrontDesk-01</x:v>
      </x:c>
      <x:c r="L210" s="113" t="n">
        <x:f>MAX(0,COUNTIFS($A$2:$A$401,A210,$C$2:$C$401,"&lt;"&amp;C210,$E$2:$E$401,"&gt;"&amp;C210)-1)</x:f>
        <x:v>0</x:v>
      </x:c>
      <x:c r="M210" s="113" t="n">
        <x:f>HOUR(C210)</x:f>
        <x:v>12</x:v>
      </x:c>
      <x:c r="N210" s="119" t="n">
        <x:f>ROUND((C210-A210-TIME(8,0,0))*1440,1)</x:f>
        <x:v>274.8</x:v>
      </x:c>
    </x:row>
    <x:row r="211" ht="18" customHeight="1">
      <x:c r="A211" s="101" t="n">
        <x:v>46134</x:v>
      </x:c>
      <x:c r="B211" s="76" t="str">
        <x:v>P0210</x:v>
      </x:c>
      <x:c r="C211" s="107" t="n">
        <x:v>46134.52752418981</x:v>
      </x:c>
      <x:c r="D211" s="107" t="n">
        <x:v>46134.52752418981</x:v>
      </x:c>
      <x:c r="E211" s="107" t="n">
        <x:v>46134.53071863426</x:v>
      </x:c>
      <x:c r="F211" s="76" t="str">
        <x:v>registration</x:v>
      </x:c>
      <x:c r="G211" s="113" t="n">
        <x:f>ROUND((E211-D211)*1440,1)</x:f>
        <x:v>4.6</x:v>
      </x:c>
      <x:c r="H211" s="113" t="n">
        <x:f>ROUND((D211-C211)*1440,1)</x:f>
        <x:v>0</x:v>
      </x:c>
      <x:c r="I211" s="113" t="n">
        <x:f>ROUND((E211-C211)*1440,1)</x:f>
        <x:v>4.6</x:v>
      </x:c>
      <x:c r="J211" s="113" t="n">
        <x:f>IF(A211=A210,ROUND((C211-C210)*1440,1),0)</x:f>
        <x:v>4.9</x:v>
      </x:c>
      <x:c r="K211" s="76" t="str">
        <x:v>FrontDesk-01</x:v>
      </x:c>
      <x:c r="L211" s="113" t="n">
        <x:f>MAX(0,COUNTIFS($A$2:$A$401,A211,$C$2:$C$401,"&lt;"&amp;C211,$E$2:$E$401,"&gt;"&amp;C211)-1)</x:f>
        <x:v>0</x:v>
      </x:c>
      <x:c r="M211" s="113" t="n">
        <x:f>HOUR(C211)</x:f>
        <x:v>12</x:v>
      </x:c>
      <x:c r="N211" s="119" t="n">
        <x:f>ROUND((C211-A211-TIME(8,0,0))*1440,1)</x:f>
        <x:v>279.6</x:v>
      </x:c>
    </x:row>
    <x:row r="212" ht="18" customHeight="1">
      <x:c r="A212" s="101" t="n">
        <x:v>46134</x:v>
      </x:c>
      <x:c r="B212" s="76" t="str">
        <x:v>P0211</x:v>
      </x:c>
      <x:c r="C212" s="107" t="n">
        <x:v>46134.552448055554</x:v>
      </x:c>
      <x:c r="D212" s="107" t="n">
        <x:v>46134.552448055554</x:v>
      </x:c>
      <x:c r="E212" s="107" t="n">
        <x:v>46134.55557305556</x:v>
      </x:c>
      <x:c r="F212" s="76" t="str">
        <x:v>registration</x:v>
      </x:c>
      <x:c r="G212" s="113" t="n">
        <x:f>ROUND((E212-D212)*1440,1)</x:f>
        <x:v>4.5</x:v>
      </x:c>
      <x:c r="H212" s="113" t="n">
        <x:f>ROUND((D212-C212)*1440,1)</x:f>
        <x:v>0</x:v>
      </x:c>
      <x:c r="I212" s="113" t="n">
        <x:f>ROUND((E212-C212)*1440,1)</x:f>
        <x:v>4.5</x:v>
      </x:c>
      <x:c r="J212" s="113" t="n">
        <x:f>IF(A212=A211,ROUND((C212-C211)*1440,1),0)</x:f>
        <x:v>35.9</x:v>
      </x:c>
      <x:c r="K212" s="76" t="str">
        <x:v>FrontDesk-01</x:v>
      </x:c>
      <x:c r="L212" s="113" t="n">
        <x:f>MAX(0,COUNTIFS($A$2:$A$401,A212,$C$2:$C$401,"&lt;"&amp;C212,$E$2:$E$401,"&gt;"&amp;C212)-1)</x:f>
        <x:v>0</x:v>
      </x:c>
      <x:c r="M212" s="113" t="n">
        <x:f>HOUR(C212)</x:f>
        <x:v>13</x:v>
      </x:c>
      <x:c r="N212" s="119" t="n">
        <x:f>ROUND((C212-A212-TIME(8,0,0))*1440,1)</x:f>
        <x:v>315.5</x:v>
      </x:c>
    </x:row>
    <x:row r="213" ht="18" customHeight="1">
      <x:c r="A213" s="101" t="n">
        <x:v>46134</x:v>
      </x:c>
      <x:c r="B213" s="76" t="str">
        <x:v>P0212</x:v>
      </x:c>
      <x:c r="C213" s="107" t="n">
        <x:v>46134.56533152778</x:v>
      </x:c>
      <x:c r="D213" s="107" t="n">
        <x:v>46134.56533152778</x:v>
      </x:c>
      <x:c r="E213" s="107" t="n">
        <x:v>46134.56908152778</x:v>
      </x:c>
      <x:c r="F213" s="76" t="str">
        <x:v>sample_submission</x:v>
      </x:c>
      <x:c r="G213" s="113" t="n">
        <x:f>ROUND((E213-D213)*1440,1)</x:f>
        <x:v>5.4</x:v>
      </x:c>
      <x:c r="H213" s="113" t="n">
        <x:f>ROUND((D213-C213)*1440,1)</x:f>
        <x:v>0</x:v>
      </x:c>
      <x:c r="I213" s="113" t="n">
        <x:f>ROUND((E213-C213)*1440,1)</x:f>
        <x:v>5.4</x:v>
      </x:c>
      <x:c r="J213" s="113" t="n">
        <x:f>IF(A213=A212,ROUND((C213-C212)*1440,1),0)</x:f>
        <x:v>18.6</x:v>
      </x:c>
      <x:c r="K213" s="76" t="str">
        <x:v>FrontDesk-01</x:v>
      </x:c>
      <x:c r="L213" s="113" t="n">
        <x:f>MAX(0,COUNTIFS($A$2:$A$401,A213,$C$2:$C$401,"&lt;"&amp;C213,$E$2:$E$401,"&gt;"&amp;C213)-1)</x:f>
        <x:v>0</x:v>
      </x:c>
      <x:c r="M213" s="113" t="n">
        <x:f>HOUR(C213)</x:f>
        <x:v>13</x:v>
      </x:c>
      <x:c r="N213" s="119" t="n">
        <x:f>ROUND((C213-A213-TIME(8,0,0))*1440,1)</x:f>
        <x:v>334.1</x:v>
      </x:c>
    </x:row>
    <x:row r="214" ht="18" customHeight="1">
      <x:c r="A214" s="101" t="n">
        <x:v>46134</x:v>
      </x:c>
      <x:c r="B214" s="76" t="str">
        <x:v>P0213</x:v>
      </x:c>
      <x:c r="C214" s="107" t="n">
        <x:v>46134.56971739583</x:v>
      </x:c>
      <x:c r="D214" s="107" t="n">
        <x:v>46134.56971739583</x:v>
      </x:c>
      <x:c r="E214" s="107" t="n">
        <x:v>46134.5732590625</x:v>
      </x:c>
      <x:c r="F214" s="76" t="str">
        <x:v>sample_submission</x:v>
      </x:c>
      <x:c r="G214" s="113" t="n">
        <x:f>ROUND((E214-D214)*1440,1)</x:f>
        <x:v>5.1</x:v>
      </x:c>
      <x:c r="H214" s="113" t="n">
        <x:f>ROUND((D214-C214)*1440,1)</x:f>
        <x:v>0</x:v>
      </x:c>
      <x:c r="I214" s="113" t="n">
        <x:f>ROUND((E214-C214)*1440,1)</x:f>
        <x:v>5.1</x:v>
      </x:c>
      <x:c r="J214" s="113" t="n">
        <x:f>IF(A214=A213,ROUND((C214-C213)*1440,1),0)</x:f>
        <x:v>6.3</x:v>
      </x:c>
      <x:c r="K214" s="76" t="str">
        <x:v>FrontDesk-01</x:v>
      </x:c>
      <x:c r="L214" s="113" t="n">
        <x:f>MAX(0,COUNTIFS($A$2:$A$401,A214,$C$2:$C$401,"&lt;"&amp;C214,$E$2:$E$401,"&gt;"&amp;C214)-1)</x:f>
        <x:v>0</x:v>
      </x:c>
      <x:c r="M214" s="113" t="n">
        <x:f>HOUR(C214)</x:f>
        <x:v>13</x:v>
      </x:c>
      <x:c r="N214" s="119" t="n">
        <x:f>ROUND((C214-A214-TIME(8,0,0))*1440,1)</x:f>
        <x:v>340.4</x:v>
      </x:c>
    </x:row>
    <x:row r="215" ht="18" customHeight="1">
      <x:c r="A215" s="101" t="n">
        <x:v>46134</x:v>
      </x:c>
      <x:c r="B215" s="76" t="str">
        <x:v>P0214</x:v>
      </x:c>
      <x:c r="C215" s="107" t="n">
        <x:v>46134.57187782408</x:v>
      </x:c>
      <x:c r="D215" s="107" t="n">
        <x:v>46134.5732590625</x:v>
      </x:c>
      <x:c r="E215" s="107" t="n">
        <x:v>46134.57430072917</x:v>
      </x:c>
      <x:c r="F215" s="76" t="str">
        <x:v>report_collection</x:v>
      </x:c>
      <x:c r="G215" s="113" t="n">
        <x:f>ROUND((E215-D215)*1440,1)</x:f>
        <x:v>1.5</x:v>
      </x:c>
      <x:c r="H215" s="113" t="n">
        <x:f>ROUND((D215-C215)*1440,1)</x:f>
        <x:v>2</x:v>
      </x:c>
      <x:c r="I215" s="113" t="n">
        <x:f>ROUND((E215-C215)*1440,1)</x:f>
        <x:v>3.5</x:v>
      </x:c>
      <x:c r="J215" s="113" t="n">
        <x:f>IF(A215=A214,ROUND((C215-C214)*1440,1),0)</x:f>
        <x:v>3.1</x:v>
      </x:c>
      <x:c r="K215" s="76" t="str">
        <x:v>FrontDesk-01</x:v>
      </x:c>
      <x:c r="L215" s="113" t="n">
        <x:f>MAX(0,COUNTIFS($A$2:$A$401,A215,$C$2:$C$401,"&lt;"&amp;C215,$E$2:$E$401,"&gt;"&amp;C215)-1)</x:f>
        <x:v>0</x:v>
      </x:c>
      <x:c r="M215" s="113" t="n">
        <x:f>HOUR(C215)</x:f>
        <x:v>13</x:v>
      </x:c>
      <x:c r="N215" s="119" t="n">
        <x:f>ROUND((C215-A215-TIME(8,0,0))*1440,1)</x:f>
        <x:v>343.5</x:v>
      </x:c>
    </x:row>
    <x:row r="216" ht="18" customHeight="1">
      <x:c r="A216" s="101" t="n">
        <x:v>46134</x:v>
      </x:c>
      <x:c r="B216" s="76" t="str">
        <x:v>P0215</x:v>
      </x:c>
      <x:c r="C216" s="107" t="n">
        <x:v>46134.5735027662</x:v>
      </x:c>
      <x:c r="D216" s="107" t="n">
        <x:v>46134.57430072917</x:v>
      </x:c>
      <x:c r="E216" s="107" t="n">
        <x:v>46134.576731284724</x:v>
      </x:c>
      <x:c r="F216" s="76" t="str">
        <x:v>sample_submission</x:v>
      </x:c>
      <x:c r="G216" s="113" t="n">
        <x:f>ROUND((E216-D216)*1440,1)</x:f>
        <x:v>3.5</x:v>
      </x:c>
      <x:c r="H216" s="113" t="n">
        <x:f>ROUND((D216-C216)*1440,1)</x:f>
        <x:v>1.1</x:v>
      </x:c>
      <x:c r="I216" s="113" t="n">
        <x:f>ROUND((E216-C216)*1440,1)</x:f>
        <x:v>4.6</x:v>
      </x:c>
      <x:c r="J216" s="113" t="n">
        <x:f>IF(A216=A215,ROUND((C216-C215)*1440,1),0)</x:f>
        <x:v>2.3</x:v>
      </x:c>
      <x:c r="K216" s="76" t="str">
        <x:v>FrontDesk-01</x:v>
      </x:c>
      <x:c r="L216" s="113" t="n">
        <x:f>MAX(0,COUNTIFS($A$2:$A$401,A216,$C$2:$C$401,"&lt;"&amp;C216,$E$2:$E$401,"&gt;"&amp;C216)-1)</x:f>
        <x:v>0</x:v>
      </x:c>
      <x:c r="M216" s="113" t="n">
        <x:f>HOUR(C216)</x:f>
        <x:v>13</x:v>
      </x:c>
      <x:c r="N216" s="119" t="n">
        <x:f>ROUND((C216-A216-TIME(8,0,0))*1440,1)</x:f>
        <x:v>345.8</x:v>
      </x:c>
    </x:row>
    <x:row r="217" ht="18" customHeight="1">
      <x:c r="A217" s="101" t="n">
        <x:v>46134</x:v>
      </x:c>
      <x:c r="B217" s="76" t="str">
        <x:v>P0216</x:v>
      </x:c>
      <x:c r="C217" s="107" t="n">
        <x:v>46134.57726820602</x:v>
      </x:c>
      <x:c r="D217" s="107" t="n">
        <x:v>46134.57726820602</x:v>
      </x:c>
      <x:c r="E217" s="107" t="n">
        <x:v>46134.58108765046</x:v>
      </x:c>
      <x:c r="F217" s="76" t="str">
        <x:v>sample_submission</x:v>
      </x:c>
      <x:c r="G217" s="113" t="n">
        <x:f>ROUND((E217-D217)*1440,1)</x:f>
        <x:v>5.5</x:v>
      </x:c>
      <x:c r="H217" s="113" t="n">
        <x:f>ROUND((D217-C217)*1440,1)</x:f>
        <x:v>0</x:v>
      </x:c>
      <x:c r="I217" s="113" t="n">
        <x:f>ROUND((E217-C217)*1440,1)</x:f>
        <x:v>5.5</x:v>
      </x:c>
      <x:c r="J217" s="113" t="n">
        <x:f>IF(A217=A216,ROUND((C217-C216)*1440,1),0)</x:f>
        <x:v>5.4</x:v>
      </x:c>
      <x:c r="K217" s="76" t="str">
        <x:v>FrontDesk-01</x:v>
      </x:c>
      <x:c r="L217" s="113" t="n">
        <x:f>MAX(0,COUNTIFS($A$2:$A$401,A217,$C$2:$C$401,"&lt;"&amp;C217,$E$2:$E$401,"&gt;"&amp;C217)-1)</x:f>
        <x:v>0</x:v>
      </x:c>
      <x:c r="M217" s="113" t="n">
        <x:f>HOUR(C217)</x:f>
        <x:v>13</x:v>
      </x:c>
      <x:c r="N217" s="119" t="n">
        <x:f>ROUND((C217-A217-TIME(8,0,0))*1440,1)</x:f>
        <x:v>351.3</x:v>
      </x:c>
    </x:row>
    <x:row r="218" ht="18" customHeight="1">
      <x:c r="A218" s="101" t="n">
        <x:v>46134</x:v>
      </x:c>
      <x:c r="B218" s="76" t="str">
        <x:v>P0217</x:v>
      </x:c>
      <x:c r="C218" s="107" t="n">
        <x:v>46134.57807175926</x:v>
      </x:c>
      <x:c r="D218" s="107" t="n">
        <x:v>46134.58108765046</x:v>
      </x:c>
      <x:c r="E218" s="107" t="n">
        <x:v>46134.584212650465</x:v>
      </x:c>
      <x:c r="F218" s="76" t="str">
        <x:v>registration</x:v>
      </x:c>
      <x:c r="G218" s="113" t="n">
        <x:f>ROUND((E218-D218)*1440,1)</x:f>
        <x:v>4.5</x:v>
      </x:c>
      <x:c r="H218" s="113" t="n">
        <x:f>ROUND((D218-C218)*1440,1)</x:f>
        <x:v>4.3</x:v>
      </x:c>
      <x:c r="I218" s="113" t="n">
        <x:f>ROUND((E218-C218)*1440,1)</x:f>
        <x:v>8.8</x:v>
      </x:c>
      <x:c r="J218" s="113" t="n">
        <x:f>IF(A218=A217,ROUND((C218-C217)*1440,1),0)</x:f>
        <x:v>1.2</x:v>
      </x:c>
      <x:c r="K218" s="76" t="str">
        <x:v>FrontDesk-01</x:v>
      </x:c>
      <x:c r="L218" s="113" t="n">
        <x:f>MAX(0,COUNTIFS($A$2:$A$401,A218,$C$2:$C$401,"&lt;"&amp;C218,$E$2:$E$401,"&gt;"&amp;C218)-1)</x:f>
        <x:v>0</x:v>
      </x:c>
      <x:c r="M218" s="113" t="n">
        <x:f>HOUR(C218)</x:f>
        <x:v>13</x:v>
      </x:c>
      <x:c r="N218" s="119" t="n">
        <x:f>ROUND((C218-A218-TIME(8,0,0))*1440,1)</x:f>
        <x:v>352.4</x:v>
      </x:c>
    </x:row>
    <x:row r="219" ht="18" customHeight="1">
      <x:c r="A219" s="101" t="n">
        <x:v>46134</x:v>
      </x:c>
      <x:c r="B219" s="76" t="str">
        <x:v>P0218</x:v>
      </x:c>
      <x:c r="C219" s="107" t="n">
        <x:v>46134.583684363424</x:v>
      </x:c>
      <x:c r="D219" s="107" t="n">
        <x:v>46134.584212650465</x:v>
      </x:c>
      <x:c r="E219" s="107" t="n">
        <x:v>46134.58699042824</x:v>
      </x:c>
      <x:c r="F219" s="76" t="str">
        <x:v>billing_payment</x:v>
      </x:c>
      <x:c r="G219" s="113" t="n">
        <x:f>ROUND((E219-D219)*1440,1)</x:f>
        <x:v>4</x:v>
      </x:c>
      <x:c r="H219" s="113" t="n">
        <x:f>ROUND((D219-C219)*1440,1)</x:f>
        <x:v>0.8</x:v>
      </x:c>
      <x:c r="I219" s="113" t="n">
        <x:f>ROUND((E219-C219)*1440,1)</x:f>
        <x:v>4.8</x:v>
      </x:c>
      <x:c r="J219" s="113" t="n">
        <x:f>IF(A219=A218,ROUND((C219-C218)*1440,1),0)</x:f>
        <x:v>8.1</x:v>
      </x:c>
      <x:c r="K219" s="76" t="str">
        <x:v>FrontDesk-01</x:v>
      </x:c>
      <x:c r="L219" s="113" t="n">
        <x:f>MAX(0,COUNTIFS($A$2:$A$401,A219,$C$2:$C$401,"&lt;"&amp;C219,$E$2:$E$401,"&gt;"&amp;C219)-1)</x:f>
        <x:v>0</x:v>
      </x:c>
      <x:c r="M219" s="113" t="n">
        <x:f>HOUR(C219)</x:f>
        <x:v>14</x:v>
      </x:c>
      <x:c r="N219" s="119" t="n">
        <x:f>ROUND((C219-A219-TIME(8,0,0))*1440,1)</x:f>
        <x:v>360.5</x:v>
      </x:c>
    </x:row>
    <x:row r="220" ht="18" customHeight="1">
      <x:c r="A220" s="101" t="n">
        <x:v>46134</x:v>
      </x:c>
      <x:c r="B220" s="76" t="str">
        <x:v>P0219</x:v>
      </x:c>
      <x:c r="C220" s="107" t="n">
        <x:v>46134.58376732639</x:v>
      </x:c>
      <x:c r="D220" s="107" t="n">
        <x:v>46134.58699042824</x:v>
      </x:c>
      <x:c r="E220" s="107" t="n">
        <x:v>46134.58962931713</x:v>
      </x:c>
      <x:c r="F220" s="76" t="str">
        <x:v>sample_submission</x:v>
      </x:c>
      <x:c r="G220" s="113" t="n">
        <x:f>ROUND((E220-D220)*1440,1)</x:f>
        <x:v>3.8</x:v>
      </x:c>
      <x:c r="H220" s="113" t="n">
        <x:f>ROUND((D220-C220)*1440,1)</x:f>
        <x:v>4.6</x:v>
      </x:c>
      <x:c r="I220" s="113" t="n">
        <x:f>ROUND((E220-C220)*1440,1)</x:f>
        <x:v>8.4</x:v>
      </x:c>
      <x:c r="J220" s="113" t="n">
        <x:f>IF(A220=A219,ROUND((C220-C219)*1440,1),0)</x:f>
        <x:v>0.1</x:v>
      </x:c>
      <x:c r="K220" s="76" t="str">
        <x:v>FrontDesk-01</x:v>
      </x:c>
      <x:c r="L220" s="113" t="n">
        <x:f>MAX(0,COUNTIFS($A$2:$A$401,A220,$C$2:$C$401,"&lt;"&amp;C220,$E$2:$E$401,"&gt;"&amp;C220)-1)</x:f>
        <x:v>1</x:v>
      </x:c>
      <x:c r="M220" s="113" t="n">
        <x:f>HOUR(C220)</x:f>
        <x:v>14</x:v>
      </x:c>
      <x:c r="N220" s="119" t="n">
        <x:f>ROUND((C220-A220-TIME(8,0,0))*1440,1)</x:f>
        <x:v>360.6</x:v>
      </x:c>
    </x:row>
    <x:row r="221" ht="18" customHeight="1">
      <x:c r="A221" s="101" t="n">
        <x:v>46134</x:v>
      </x:c>
      <x:c r="B221" s="76" t="str">
        <x:v>P0220</x:v>
      </x:c>
      <x:c r="C221" s="107" t="n">
        <x:v>46134.58546991898</x:v>
      </x:c>
      <x:c r="D221" s="107" t="n">
        <x:v>46134.58962931713</x:v>
      </x:c>
      <x:c r="E221" s="107" t="n">
        <x:v>46134.592407094904</x:v>
      </x:c>
      <x:c r="F221" s="76" t="str">
        <x:v>billing_payment</x:v>
      </x:c>
      <x:c r="G221" s="113" t="n">
        <x:f>ROUND((E221-D221)*1440,1)</x:f>
        <x:v>4</x:v>
      </x:c>
      <x:c r="H221" s="113" t="n">
        <x:f>ROUND((D221-C221)*1440,1)</x:f>
        <x:v>6</x:v>
      </x:c>
      <x:c r="I221" s="113" t="n">
        <x:f>ROUND((E221-C221)*1440,1)</x:f>
        <x:v>10</x:v>
      </x:c>
      <x:c r="J221" s="113" t="n">
        <x:f>IF(A221=A220,ROUND((C221-C220)*1440,1),0)</x:f>
        <x:v>2.5</x:v>
      </x:c>
      <x:c r="K221" s="76" t="str">
        <x:v>FrontDesk-01</x:v>
      </x:c>
      <x:c r="L221" s="113" t="n">
        <x:f>MAX(0,COUNTIFS($A$2:$A$401,A221,$C$2:$C$401,"&lt;"&amp;C221,$E$2:$E$401,"&gt;"&amp;C221)-1)</x:f>
        <x:v>1</x:v>
      </x:c>
      <x:c r="M221" s="113" t="n">
        <x:f>HOUR(C221)</x:f>
        <x:v>14</x:v>
      </x:c>
      <x:c r="N221" s="119" t="n">
        <x:f>ROUND((C221-A221-TIME(8,0,0))*1440,1)</x:f>
        <x:v>363.1</x:v>
      </x:c>
    </x:row>
    <x:row r="222" ht="18" customHeight="1">
      <x:c r="A222" s="101" t="n">
        <x:v>46134</x:v>
      </x:c>
      <x:c r="B222" s="76" t="str">
        <x:v>P0221</x:v>
      </x:c>
      <x:c r="C222" s="107" t="n">
        <x:v>46134.585816956016</x:v>
      </x:c>
      <x:c r="D222" s="107" t="n">
        <x:v>46134.592407094904</x:v>
      </x:c>
      <x:c r="E222" s="107" t="n">
        <x:v>46134.59539320602</x:v>
      </x:c>
      <x:c r="F222" s="76" t="str">
        <x:v>sample_submission</x:v>
      </x:c>
      <x:c r="G222" s="113" t="n">
        <x:f>ROUND((E222-D222)*1440,1)</x:f>
        <x:v>4.3</x:v>
      </x:c>
      <x:c r="H222" s="113" t="n">
        <x:f>ROUND((D222-C222)*1440,1)</x:f>
        <x:v>9.5</x:v>
      </x:c>
      <x:c r="I222" s="113" t="n">
        <x:f>ROUND((E222-C222)*1440,1)</x:f>
        <x:v>13.8</x:v>
      </x:c>
      <x:c r="J222" s="113" t="n">
        <x:f>IF(A222=A221,ROUND((C222-C221)*1440,1),0)</x:f>
        <x:v>0.5</x:v>
      </x:c>
      <x:c r="K222" s="76" t="str">
        <x:v>FrontDesk-01</x:v>
      </x:c>
      <x:c r="L222" s="113" t="n">
        <x:f>MAX(0,COUNTIFS($A$2:$A$401,A222,$C$2:$C$401,"&lt;"&amp;C222,$E$2:$E$401,"&gt;"&amp;C222)-1)</x:f>
        <x:v>2</x:v>
      </x:c>
      <x:c r="M222" s="113" t="n">
        <x:f>HOUR(C222)</x:f>
        <x:v>14</x:v>
      </x:c>
      <x:c r="N222" s="119" t="n">
        <x:f>ROUND((C222-A222-TIME(8,0,0))*1440,1)</x:f>
        <x:v>363.6</x:v>
      </x:c>
    </x:row>
    <x:row r="223" ht="18" customHeight="1">
      <x:c r="A223" s="101" t="n">
        <x:v>46134</x:v>
      </x:c>
      <x:c r="B223" s="76" t="str">
        <x:v>P0222</x:v>
      </x:c>
      <x:c r="C223" s="107" t="n">
        <x:v>46134.58631828704</x:v>
      </x:c>
      <x:c r="D223" s="107" t="n">
        <x:v>46134.59539320602</x:v>
      </x:c>
      <x:c r="E223" s="107" t="n">
        <x:v>46134.59824042824</x:v>
      </x:c>
      <x:c r="F223" s="76" t="str">
        <x:v>appointment_booking</x:v>
      </x:c>
      <x:c r="G223" s="113" t="n">
        <x:f>ROUND((E223-D223)*1440,1)</x:f>
        <x:v>4.1</x:v>
      </x:c>
      <x:c r="H223" s="113" t="n">
        <x:f>ROUND((D223-C223)*1440,1)</x:f>
        <x:v>13.1</x:v>
      </x:c>
      <x:c r="I223" s="113" t="n">
        <x:f>ROUND((E223-C223)*1440,1)</x:f>
        <x:v>17.2</x:v>
      </x:c>
      <x:c r="J223" s="113" t="n">
        <x:f>IF(A223=A222,ROUND((C223-C222)*1440,1),0)</x:f>
        <x:v>0.7</x:v>
      </x:c>
      <x:c r="K223" s="76" t="str">
        <x:v>FrontDesk-01</x:v>
      </x:c>
      <x:c r="L223" s="113" t="n">
        <x:f>MAX(0,COUNTIFS($A$2:$A$401,A223,$C$2:$C$401,"&lt;"&amp;C223,$E$2:$E$401,"&gt;"&amp;C223)-1)</x:f>
        <x:v>3</x:v>
      </x:c>
      <x:c r="M223" s="113" t="n">
        <x:f>HOUR(C223)</x:f>
        <x:v>14</x:v>
      </x:c>
      <x:c r="N223" s="119" t="n">
        <x:f>ROUND((C223-A223-TIME(8,0,0))*1440,1)</x:f>
        <x:v>364.3</x:v>
      </x:c>
    </x:row>
    <x:row r="224" ht="18" customHeight="1">
      <x:c r="A224" s="101" t="n">
        <x:v>46134</x:v>
      </x:c>
      <x:c r="B224" s="76" t="str">
        <x:v>P0223</x:v>
      </x:c>
      <x:c r="C224" s="107" t="n">
        <x:v>46134.58873065972</x:v>
      </x:c>
      <x:c r="D224" s="107" t="n">
        <x:v>46134.59824042824</x:v>
      </x:c>
      <x:c r="E224" s="107" t="n">
        <x:v>46134.60247653935</x:v>
      </x:c>
      <x:c r="F224" s="76" t="str">
        <x:v>registration</x:v>
      </x:c>
      <x:c r="G224" s="113" t="n">
        <x:f>ROUND((E224-D224)*1440,1)</x:f>
        <x:v>6.1</x:v>
      </x:c>
      <x:c r="H224" s="113" t="n">
        <x:f>ROUND((D224-C224)*1440,1)</x:f>
        <x:v>13.7</x:v>
      </x:c>
      <x:c r="I224" s="113" t="n">
        <x:f>ROUND((E224-C224)*1440,1)</x:f>
        <x:v>19.8</x:v>
      </x:c>
      <x:c r="J224" s="113" t="n">
        <x:f>IF(A224=A223,ROUND((C224-C223)*1440,1),0)</x:f>
        <x:v>3.5</x:v>
      </x:c>
      <x:c r="K224" s="76" t="str">
        <x:v>FrontDesk-01</x:v>
      </x:c>
      <x:c r="L224" s="113" t="n">
        <x:f>MAX(0,COUNTIFS($A$2:$A$401,A224,$C$2:$C$401,"&lt;"&amp;C224,$E$2:$E$401,"&gt;"&amp;C224)-1)</x:f>
        <x:v>3</x:v>
      </x:c>
      <x:c r="M224" s="113" t="n">
        <x:f>HOUR(C224)</x:f>
        <x:v>14</x:v>
      </x:c>
      <x:c r="N224" s="119" t="n">
        <x:f>ROUND((C224-A224-TIME(8,0,0))*1440,1)</x:f>
        <x:v>367.8</x:v>
      </x:c>
    </x:row>
    <x:row r="225" ht="18" customHeight="1">
      <x:c r="A225" s="101" t="n">
        <x:v>46134</x:v>
      </x:c>
      <x:c r="B225" s="76" t="str">
        <x:v>P0224</x:v>
      </x:c>
      <x:c r="C225" s="107" t="n">
        <x:v>46134.58958962963</x:v>
      </x:c>
      <x:c r="D225" s="107" t="n">
        <x:v>46134.60247653935</x:v>
      </x:c>
      <x:c r="E225" s="107" t="n">
        <x:v>46134.60574042824</x:v>
      </x:c>
      <x:c r="F225" s="76" t="str">
        <x:v>sample_submission</x:v>
      </x:c>
      <x:c r="G225" s="113" t="n">
        <x:f>ROUND((E225-D225)*1440,1)</x:f>
        <x:v>4.7</x:v>
      </x:c>
      <x:c r="H225" s="113" t="n">
        <x:f>ROUND((D225-C225)*1440,1)</x:f>
        <x:v>18.6</x:v>
      </x:c>
      <x:c r="I225" s="113" t="n">
        <x:f>ROUND((E225-C225)*1440,1)</x:f>
        <x:v>23.3</x:v>
      </x:c>
      <x:c r="J225" s="113" t="n">
        <x:f>IF(A225=A224,ROUND((C225-C224)*1440,1),0)</x:f>
        <x:v>1.2</x:v>
      </x:c>
      <x:c r="K225" s="76" t="str">
        <x:v>FrontDesk-01</x:v>
      </x:c>
      <x:c r="L225" s="113" t="n">
        <x:f>MAX(0,COUNTIFS($A$2:$A$401,A225,$C$2:$C$401,"&lt;"&amp;C225,$E$2:$E$401,"&gt;"&amp;C225)-1)</x:f>
        <x:v>4</x:v>
      </x:c>
      <x:c r="M225" s="113" t="n">
        <x:f>HOUR(C225)</x:f>
        <x:v>14</x:v>
      </x:c>
      <x:c r="N225" s="119" t="n">
        <x:f>ROUND((C225-A225-TIME(8,0,0))*1440,1)</x:f>
        <x:v>369</x:v>
      </x:c>
    </x:row>
    <x:row r="226" ht="18" customHeight="1">
      <x:c r="A226" s="101" t="n">
        <x:v>46134</x:v>
      </x:c>
      <x:c r="B226" s="76" t="str">
        <x:v>P0225</x:v>
      </x:c>
      <x:c r="C226" s="107" t="n">
        <x:v>46134.59473534722</x:v>
      </x:c>
      <x:c r="D226" s="107" t="n">
        <x:v>46134.60574042824</x:v>
      </x:c>
      <x:c r="E226" s="107" t="n">
        <x:v>46134.60872653935</x:v>
      </x:c>
      <x:c r="F226" s="76" t="str">
        <x:v>registration</x:v>
      </x:c>
      <x:c r="G226" s="113" t="n">
        <x:f>ROUND((E226-D226)*1440,1)</x:f>
        <x:v>4.3</x:v>
      </x:c>
      <x:c r="H226" s="113" t="n">
        <x:f>ROUND((D226-C226)*1440,1)</x:f>
        <x:v>15.8</x:v>
      </x:c>
      <x:c r="I226" s="113" t="n">
        <x:f>ROUND((E226-C226)*1440,1)</x:f>
        <x:v>20.1</x:v>
      </x:c>
      <x:c r="J226" s="113" t="n">
        <x:f>IF(A226=A225,ROUND((C226-C225)*1440,1),0)</x:f>
        <x:v>7.4</x:v>
      </x:c>
      <x:c r="K226" s="76" t="str">
        <x:v>FrontDesk-01</x:v>
      </x:c>
      <x:c r="L226" s="113" t="n">
        <x:f>MAX(0,COUNTIFS($A$2:$A$401,A226,$C$2:$C$401,"&lt;"&amp;C226,$E$2:$E$401,"&gt;"&amp;C226)-1)</x:f>
        <x:v>3</x:v>
      </x:c>
      <x:c r="M226" s="113" t="n">
        <x:f>HOUR(C226)</x:f>
        <x:v>14</x:v>
      </x:c>
      <x:c r="N226" s="119" t="n">
        <x:f>ROUND((C226-A226-TIME(8,0,0))*1440,1)</x:f>
        <x:v>376.4</x:v>
      </x:c>
    </x:row>
    <x:row r="227" ht="18" customHeight="1">
      <x:c r="A227" s="101" t="n">
        <x:v>46134</x:v>
      </x:c>
      <x:c r="B227" s="76" t="str">
        <x:v>P0226</x:v>
      </x:c>
      <x:c r="C227" s="107" t="n">
        <x:v>46134.59579864583</x:v>
      </x:c>
      <x:c r="D227" s="107" t="n">
        <x:v>46134.60872653935</x:v>
      </x:c>
      <x:c r="E227" s="107" t="n">
        <x:v>46134.61087931713</x:v>
      </x:c>
      <x:c r="F227" s="76" t="str">
        <x:v>registration</x:v>
      </x:c>
      <x:c r="G227" s="113" t="n">
        <x:f>ROUND((E227-D227)*1440,1)</x:f>
        <x:v>3.1</x:v>
      </x:c>
      <x:c r="H227" s="113" t="n">
        <x:f>ROUND((D227-C227)*1440,1)</x:f>
        <x:v>18.6</x:v>
      </x:c>
      <x:c r="I227" s="113" t="n">
        <x:f>ROUND((E227-C227)*1440,1)</x:f>
        <x:v>21.7</x:v>
      </x:c>
      <x:c r="J227" s="113" t="n">
        <x:f>IF(A227=A226,ROUND((C227-C226)*1440,1),0)</x:f>
        <x:v>1.5</x:v>
      </x:c>
      <x:c r="K227" s="76" t="str">
        <x:v>FrontDesk-01</x:v>
      </x:c>
      <x:c r="L227" s="113" t="n">
        <x:f>MAX(0,COUNTIFS($A$2:$A$401,A227,$C$2:$C$401,"&lt;"&amp;C227,$E$2:$E$401,"&gt;"&amp;C227)-1)</x:f>
        <x:v>3</x:v>
      </x:c>
      <x:c r="M227" s="113" t="n">
        <x:f>HOUR(C227)</x:f>
        <x:v>14</x:v>
      </x:c>
      <x:c r="N227" s="119" t="n">
        <x:f>ROUND((C227-A227-TIME(8,0,0))*1440,1)</x:f>
        <x:v>378</x:v>
      </x:c>
    </x:row>
    <x:row r="228" ht="18" customHeight="1">
      <x:c r="A228" s="101" t="n">
        <x:v>46134</x:v>
      </x:c>
      <x:c r="B228" s="76" t="str">
        <x:v>P0227</x:v>
      </x:c>
      <x:c r="C228" s="107" t="n">
        <x:v>46134.59765247685</x:v>
      </x:c>
      <x:c r="D228" s="107" t="n">
        <x:v>46134.61087931713</x:v>
      </x:c>
      <x:c r="E228" s="107" t="n">
        <x:v>46134.61587931713</x:v>
      </x:c>
      <x:c r="F228" s="76" t="str">
        <x:v>sample_submission</x:v>
      </x:c>
      <x:c r="G228" s="113" t="n">
        <x:f>ROUND((E228-D228)*1440,1)</x:f>
        <x:v>7.2</x:v>
      </x:c>
      <x:c r="H228" s="113" t="n">
        <x:f>ROUND((D228-C228)*1440,1)</x:f>
        <x:v>19</x:v>
      </x:c>
      <x:c r="I228" s="113" t="n">
        <x:f>ROUND((E228-C228)*1440,1)</x:f>
        <x:v>26.2</x:v>
      </x:c>
      <x:c r="J228" s="113" t="n">
        <x:f>IF(A228=A227,ROUND((C228-C227)*1440,1),0)</x:f>
        <x:v>2.7</x:v>
      </x:c>
      <x:c r="K228" s="76" t="str">
        <x:v>FrontDesk-01</x:v>
      </x:c>
      <x:c r="L228" s="113" t="n">
        <x:f>MAX(0,COUNTIFS($A$2:$A$401,A228,$C$2:$C$401,"&lt;"&amp;C228,$E$2:$E$401,"&gt;"&amp;C228)-1)</x:f>
        <x:v>4</x:v>
      </x:c>
      <x:c r="M228" s="113" t="n">
        <x:f>HOUR(C228)</x:f>
        <x:v>14</x:v>
      </x:c>
      <x:c r="N228" s="119" t="n">
        <x:f>ROUND((C228-A228-TIME(8,0,0))*1440,1)</x:f>
        <x:v>380.6</x:v>
      </x:c>
    </x:row>
    <x:row r="229" ht="18" customHeight="1">
      <x:c r="A229" s="101" t="n">
        <x:v>46134</x:v>
      </x:c>
      <x:c r="B229" s="76" t="str">
        <x:v>P0228</x:v>
      </x:c>
      <x:c r="C229" s="107" t="n">
        <x:v>46134.60610990741</x:v>
      </x:c>
      <x:c r="D229" s="107" t="n">
        <x:v>46134.61587931713</x:v>
      </x:c>
      <x:c r="E229" s="107" t="n">
        <x:v>46134.617198761574</x:v>
      </x:c>
      <x:c r="F229" s="76" t="str">
        <x:v>inquiry</x:v>
      </x:c>
      <x:c r="G229" s="113" t="n">
        <x:f>ROUND((E229-D229)*1440,1)</x:f>
        <x:v>1.9</x:v>
      </x:c>
      <x:c r="H229" s="113" t="n">
        <x:f>ROUND((D229-C229)*1440,1)</x:f>
        <x:v>14.1</x:v>
      </x:c>
      <x:c r="I229" s="113" t="n">
        <x:f>ROUND((E229-C229)*1440,1)</x:f>
        <x:v>16</x:v>
      </x:c>
      <x:c r="J229" s="113" t="n">
        <x:f>IF(A229=A228,ROUND((C229-C228)*1440,1),0)</x:f>
        <x:v>12.2</x:v>
      </x:c>
      <x:c r="K229" s="76" t="str">
        <x:v>FrontDesk-01</x:v>
      </x:c>
      <x:c r="L229" s="113" t="n">
        <x:f>MAX(0,COUNTIFS($A$2:$A$401,A229,$C$2:$C$401,"&lt;"&amp;C229,$E$2:$E$401,"&gt;"&amp;C229)-1)</x:f>
        <x:v>2</x:v>
      </x:c>
      <x:c r="M229" s="113" t="n">
        <x:f>HOUR(C229)</x:f>
        <x:v>14</x:v>
      </x:c>
      <x:c r="N229" s="119" t="n">
        <x:f>ROUND((C229-A229-TIME(8,0,0))*1440,1)</x:f>
        <x:v>392.8</x:v>
      </x:c>
    </x:row>
    <x:row r="230" ht="18" customHeight="1">
      <x:c r="A230" s="101" t="n">
        <x:v>46134</x:v>
      </x:c>
      <x:c r="B230" s="76" t="str">
        <x:v>P0229</x:v>
      </x:c>
      <x:c r="C230" s="107" t="n">
        <x:v>46134.60941173611</x:v>
      </x:c>
      <x:c r="D230" s="107" t="n">
        <x:v>46134.617198761574</x:v>
      </x:c>
      <x:c r="E230" s="107" t="n">
        <x:v>46134.61962931713</x:v>
      </x:c>
      <x:c r="F230" s="76" t="str">
        <x:v>sample_submission</x:v>
      </x:c>
      <x:c r="G230" s="113" t="n">
        <x:f>ROUND((E230-D230)*1440,1)</x:f>
        <x:v>3.5</x:v>
      </x:c>
      <x:c r="H230" s="113" t="n">
        <x:f>ROUND((D230-C230)*1440,1)</x:f>
        <x:v>11.2</x:v>
      </x:c>
      <x:c r="I230" s="113" t="n">
        <x:f>ROUND((E230-C230)*1440,1)</x:f>
        <x:v>14.7</x:v>
      </x:c>
      <x:c r="J230" s="113" t="n">
        <x:f>IF(A230=A229,ROUND((C230-C229)*1440,1),0)</x:f>
        <x:v>4.8</x:v>
      </x:c>
      <x:c r="K230" s="76" t="str">
        <x:v>FrontDesk-01</x:v>
      </x:c>
      <x:c r="L230" s="113" t="n">
        <x:f>MAX(0,COUNTIFS($A$2:$A$401,A230,$C$2:$C$401,"&lt;"&amp;C230,$E$2:$E$401,"&gt;"&amp;C230)-1)</x:f>
        <x:v>2</x:v>
      </x:c>
      <x:c r="M230" s="113" t="n">
        <x:f>HOUR(C230)</x:f>
        <x:v>14</x:v>
      </x:c>
      <x:c r="N230" s="119" t="n">
        <x:f>ROUND((C230-A230-TIME(8,0,0))*1440,1)</x:f>
        <x:v>397.6</x:v>
      </x:c>
    </x:row>
    <x:row r="231" ht="18" customHeight="1">
      <x:c r="A231" s="101" t="n">
        <x:v>46134</x:v>
      </x:c>
      <x:c r="B231" s="76" t="str">
        <x:v>P0230</x:v>
      </x:c>
      <x:c r="C231" s="107" t="n">
        <x:v>46134.61260483797</x:v>
      </x:c>
      <x:c r="D231" s="107" t="n">
        <x:v>46134.61962931713</x:v>
      </x:c>
      <x:c r="E231" s="107" t="n">
        <x:v>46134.620601539355</x:v>
      </x:c>
      <x:c r="F231" s="76" t="str">
        <x:v>report_collection</x:v>
      </x:c>
      <x:c r="G231" s="113" t="n">
        <x:f>ROUND((E231-D231)*1440,1)</x:f>
        <x:v>1.4</x:v>
      </x:c>
      <x:c r="H231" s="113" t="n">
        <x:f>ROUND((D231-C231)*1440,1)</x:f>
        <x:v>10.1</x:v>
      </x:c>
      <x:c r="I231" s="113" t="n">
        <x:f>ROUND((E231-C231)*1440,1)</x:f>
        <x:v>11.5</x:v>
      </x:c>
      <x:c r="J231" s="113" t="n">
        <x:f>IF(A231=A230,ROUND((C231-C230)*1440,1),0)</x:f>
        <x:v>4.6</x:v>
      </x:c>
      <x:c r="K231" s="76" t="str">
        <x:v>FrontDesk-01</x:v>
      </x:c>
      <x:c r="L231" s="113" t="n">
        <x:f>MAX(0,COUNTIFS($A$2:$A$401,A231,$C$2:$C$401,"&lt;"&amp;C231,$E$2:$E$401,"&gt;"&amp;C231)-1)</x:f>
        <x:v>2</x:v>
      </x:c>
      <x:c r="M231" s="113" t="n">
        <x:f>HOUR(C231)</x:f>
        <x:v>14</x:v>
      </x:c>
      <x:c r="N231" s="119" t="n">
        <x:f>ROUND((C231-A231-TIME(8,0,0))*1440,1)</x:f>
        <x:v>402.2</x:v>
      </x:c>
    </x:row>
    <x:row r="232" ht="18" customHeight="1">
      <x:c r="A232" s="101" t="n">
        <x:v>46134</x:v>
      </x:c>
      <x:c r="B232" s="76" t="str">
        <x:v>P0231</x:v>
      </x:c>
      <x:c r="C232" s="107" t="n">
        <x:v>46134.63058298611</x:v>
      </x:c>
      <x:c r="D232" s="107" t="n">
        <x:v>46134.63058298611</x:v>
      </x:c>
      <x:c r="E232" s="107" t="n">
        <x:v>46134.63412465278</x:v>
      </x:c>
      <x:c r="F232" s="76" t="str">
        <x:v>sample_submission</x:v>
      </x:c>
      <x:c r="G232" s="113" t="n">
        <x:f>ROUND((E232-D232)*1440,1)</x:f>
        <x:v>5.1</x:v>
      </x:c>
      <x:c r="H232" s="113" t="n">
        <x:f>ROUND((D232-C232)*1440,1)</x:f>
        <x:v>0</x:v>
      </x:c>
      <x:c r="I232" s="113" t="n">
        <x:f>ROUND((E232-C232)*1440,1)</x:f>
        <x:v>5.1</x:v>
      </x:c>
      <x:c r="J232" s="113" t="n">
        <x:f>IF(A232=A231,ROUND((C232-C231)*1440,1),0)</x:f>
        <x:v>25.9</x:v>
      </x:c>
      <x:c r="K232" s="76" t="str">
        <x:v>FrontDesk-01</x:v>
      </x:c>
      <x:c r="L232" s="113" t="n">
        <x:f>MAX(0,COUNTIFS($A$2:$A$401,A232,$C$2:$C$401,"&lt;"&amp;C232,$E$2:$E$401,"&gt;"&amp;C232)-1)</x:f>
        <x:v>0</x:v>
      </x:c>
      <x:c r="M232" s="113" t="n">
        <x:f>HOUR(C232)</x:f>
        <x:v>15</x:v>
      </x:c>
      <x:c r="N232" s="119" t="n">
        <x:f>ROUND((C232-A232-TIME(8,0,0))*1440,1)</x:f>
        <x:v>428</x:v>
      </x:c>
    </x:row>
    <x:row r="233" ht="18" customHeight="1">
      <x:c r="A233" s="101" t="n">
        <x:v>46134</x:v>
      </x:c>
      <x:c r="B233" s="76" t="str">
        <x:v>P0232</x:v>
      </x:c>
      <x:c r="C233" s="107" t="n">
        <x:v>46134.64151947917</x:v>
      </x:c>
      <x:c r="D233" s="107" t="n">
        <x:v>46134.64151947917</x:v>
      </x:c>
      <x:c r="E233" s="107" t="n">
        <x:v>46134.6454778125</x:v>
      </x:c>
      <x:c r="F233" s="76" t="str">
        <x:v>sample_submission</x:v>
      </x:c>
      <x:c r="G233" s="113" t="n">
        <x:f>ROUND((E233-D233)*1440,1)</x:f>
        <x:v>5.7</x:v>
      </x:c>
      <x:c r="H233" s="113" t="n">
        <x:f>ROUND((D233-C233)*1440,1)</x:f>
        <x:v>0</x:v>
      </x:c>
      <x:c r="I233" s="113" t="n">
        <x:f>ROUND((E233-C233)*1440,1)</x:f>
        <x:v>5.7</x:v>
      </x:c>
      <x:c r="J233" s="113" t="n">
        <x:f>IF(A233=A232,ROUND((C233-C232)*1440,1),0)</x:f>
        <x:v>15.7</x:v>
      </x:c>
      <x:c r="K233" s="76" t="str">
        <x:v>FrontDesk-01</x:v>
      </x:c>
      <x:c r="L233" s="113" t="n">
        <x:f>MAX(0,COUNTIFS($A$2:$A$401,A233,$C$2:$C$401,"&lt;"&amp;C233,$E$2:$E$401,"&gt;"&amp;C233)-1)</x:f>
        <x:v>0</x:v>
      </x:c>
      <x:c r="M233" s="113" t="n">
        <x:f>HOUR(C233)</x:f>
        <x:v>15</x:v>
      </x:c>
      <x:c r="N233" s="119" t="n">
        <x:f>ROUND((C233-A233-TIME(8,0,0))*1440,1)</x:f>
        <x:v>443.8</x:v>
      </x:c>
    </x:row>
    <x:row r="234" ht="18" customHeight="1">
      <x:c r="A234" s="101" t="n">
        <x:v>46134</x:v>
      </x:c>
      <x:c r="B234" s="76" t="str">
        <x:v>P0233</x:v>
      </x:c>
      <x:c r="C234" s="107" t="n">
        <x:v>46134.650243425924</x:v>
      </x:c>
      <x:c r="D234" s="107" t="n">
        <x:v>46134.650243425924</x:v>
      </x:c>
      <x:c r="E234" s="107" t="n">
        <x:v>46134.65357675926</x:v>
      </x:c>
      <x:c r="F234" s="76" t="str">
        <x:v>sample_submission</x:v>
      </x:c>
      <x:c r="G234" s="113" t="n">
        <x:f>ROUND((E234-D234)*1440,1)</x:f>
        <x:v>4.8</x:v>
      </x:c>
      <x:c r="H234" s="113" t="n">
        <x:f>ROUND((D234-C234)*1440,1)</x:f>
        <x:v>0</x:v>
      </x:c>
      <x:c r="I234" s="113" t="n">
        <x:f>ROUND((E234-C234)*1440,1)</x:f>
        <x:v>4.8</x:v>
      </x:c>
      <x:c r="J234" s="113" t="n">
        <x:f>IF(A234=A233,ROUND((C234-C233)*1440,1),0)</x:f>
        <x:v>12.6</x:v>
      </x:c>
      <x:c r="K234" s="76" t="str">
        <x:v>FrontDesk-01</x:v>
      </x:c>
      <x:c r="L234" s="113" t="n">
        <x:f>MAX(0,COUNTIFS($A$2:$A$401,A234,$C$2:$C$401,"&lt;"&amp;C234,$E$2:$E$401,"&gt;"&amp;C234)-1)</x:f>
        <x:v>0</x:v>
      </x:c>
      <x:c r="M234" s="113" t="n">
        <x:f>HOUR(C234)</x:f>
        <x:v>15</x:v>
      </x:c>
      <x:c r="N234" s="119" t="n">
        <x:f>ROUND((C234-A234-TIME(8,0,0))*1440,1)</x:f>
        <x:v>456.4</x:v>
      </x:c>
    </x:row>
    <x:row r="235" ht="18" customHeight="1">
      <x:c r="A235" s="101" t="n">
        <x:v>46134</x:v>
      </x:c>
      <x:c r="B235" s="76" t="str">
        <x:v>P0234</x:v>
      </x:c>
      <x:c r="C235" s="107" t="n">
        <x:v>46134.651894490744</x:v>
      </x:c>
      <x:c r="D235" s="107" t="n">
        <x:v>46134.65357675926</x:v>
      </x:c>
      <x:c r="E235" s="107" t="n">
        <x:v>46134.65475731481</x:v>
      </x:c>
      <x:c r="F235" s="76" t="str">
        <x:v>inquiry</x:v>
      </x:c>
      <x:c r="G235" s="113" t="n">
        <x:f>ROUND((E235-D235)*1440,1)</x:f>
        <x:v>1.7</x:v>
      </x:c>
      <x:c r="H235" s="113" t="n">
        <x:f>ROUND((D235-C235)*1440,1)</x:f>
        <x:v>2.4</x:v>
      </x:c>
      <x:c r="I235" s="113" t="n">
        <x:f>ROUND((E235-C235)*1440,1)</x:f>
        <x:v>4.1</x:v>
      </x:c>
      <x:c r="J235" s="113" t="n">
        <x:f>IF(A235=A234,ROUND((C235-C234)*1440,1),0)</x:f>
        <x:v>2.4</x:v>
      </x:c>
      <x:c r="K235" s="76" t="str">
        <x:v>FrontDesk-01</x:v>
      </x:c>
      <x:c r="L235" s="113" t="n">
        <x:f>MAX(0,COUNTIFS($A$2:$A$401,A235,$C$2:$C$401,"&lt;"&amp;C235,$E$2:$E$401,"&gt;"&amp;C235)-1)</x:f>
        <x:v>0</x:v>
      </x:c>
      <x:c r="M235" s="113" t="n">
        <x:f>HOUR(C235)</x:f>
        <x:v>15</x:v>
      </x:c>
      <x:c r="N235" s="119" t="n">
        <x:f>ROUND((C235-A235-TIME(8,0,0))*1440,1)</x:f>
        <x:v>458.7</x:v>
      </x:c>
    </x:row>
    <x:row r="236" ht="18" customHeight="1">
      <x:c r="A236" s="101" t="n">
        <x:v>46134</x:v>
      </x:c>
      <x:c r="B236" s="76" t="str">
        <x:v>P0235</x:v>
      </x:c>
      <x:c r="C236" s="107" t="n">
        <x:v>46134.65319005787</x:v>
      </x:c>
      <x:c r="D236" s="107" t="n">
        <x:v>46134.65475731481</x:v>
      </x:c>
      <x:c r="E236" s="107" t="n">
        <x:v>46134.65885453704</x:v>
      </x:c>
      <x:c r="F236" s="76" t="str">
        <x:v>registration</x:v>
      </x:c>
      <x:c r="G236" s="113" t="n">
        <x:f>ROUND((E236-D236)*1440,1)</x:f>
        <x:v>5.9</x:v>
      </x:c>
      <x:c r="H236" s="113" t="n">
        <x:f>ROUND((D236-C236)*1440,1)</x:f>
        <x:v>2.3</x:v>
      </x:c>
      <x:c r="I236" s="113" t="n">
        <x:f>ROUND((E236-C236)*1440,1)</x:f>
        <x:v>8.2</x:v>
      </x:c>
      <x:c r="J236" s="113" t="n">
        <x:f>IF(A236=A235,ROUND((C236-C235)*1440,1),0)</x:f>
        <x:v>1.9</x:v>
      </x:c>
      <x:c r="K236" s="76" t="str">
        <x:v>FrontDesk-01</x:v>
      </x:c>
      <x:c r="L236" s="113" t="n">
        <x:f>MAX(0,COUNTIFS($A$2:$A$401,A236,$C$2:$C$401,"&lt;"&amp;C236,$E$2:$E$401,"&gt;"&amp;C236)-1)</x:f>
        <x:v>1</x:v>
      </x:c>
      <x:c r="M236" s="113" t="n">
        <x:f>HOUR(C236)</x:f>
        <x:v>15</x:v>
      </x:c>
      <x:c r="N236" s="119" t="n">
        <x:f>ROUND((C236-A236-TIME(8,0,0))*1440,1)</x:f>
        <x:v>460.6</x:v>
      </x:c>
    </x:row>
    <x:row r="237" ht="18" customHeight="1">
      <x:c r="A237" s="101" t="n">
        <x:v>46134</x:v>
      </x:c>
      <x:c r="B237" s="76" t="str">
        <x:v>P0236</x:v>
      </x:c>
      <x:c r="C237" s="107" t="n">
        <x:v>46134.65458834491</x:v>
      </x:c>
      <x:c r="D237" s="107" t="n">
        <x:v>46134.65885453704</x:v>
      </x:c>
      <x:c r="E237" s="107" t="n">
        <x:v>46134.660729537034</x:v>
      </x:c>
      <x:c r="F237" s="76" t="str">
        <x:v>report_collection</x:v>
      </x:c>
      <x:c r="G237" s="113" t="n">
        <x:f>ROUND((E237-D237)*1440,1)</x:f>
        <x:v>2.7</x:v>
      </x:c>
      <x:c r="H237" s="113" t="n">
        <x:f>ROUND((D237-C237)*1440,1)</x:f>
        <x:v>6.1</x:v>
      </x:c>
      <x:c r="I237" s="113" t="n">
        <x:f>ROUND((E237-C237)*1440,1)</x:f>
        <x:v>8.8</x:v>
      </x:c>
      <x:c r="J237" s="113" t="n">
        <x:f>IF(A237=A236,ROUND((C237-C236)*1440,1),0)</x:f>
        <x:v>2</x:v>
      </x:c>
      <x:c r="K237" s="76" t="str">
        <x:v>FrontDesk-01</x:v>
      </x:c>
      <x:c r="L237" s="113" t="n">
        <x:f>MAX(0,COUNTIFS($A$2:$A$401,A237,$C$2:$C$401,"&lt;"&amp;C237,$E$2:$E$401,"&gt;"&amp;C237)-1)</x:f>
        <x:v>1</x:v>
      </x:c>
      <x:c r="M237" s="113" t="n">
        <x:f>HOUR(C237)</x:f>
        <x:v>15</x:v>
      </x:c>
      <x:c r="N237" s="119" t="n">
        <x:f>ROUND((C237-A237-TIME(8,0,0))*1440,1)</x:f>
        <x:v>462.6</x:v>
      </x:c>
    </x:row>
    <x:row r="238" ht="18" customHeight="1">
      <x:c r="A238" s="101" t="n">
        <x:v>46134</x:v>
      </x:c>
      <x:c r="B238" s="76" t="str">
        <x:v>P0237</x:v>
      </x:c>
      <x:c r="C238" s="107" t="n">
        <x:v>46134.66058362269</x:v>
      </x:c>
      <x:c r="D238" s="107" t="n">
        <x:v>46134.660729537034</x:v>
      </x:c>
      <x:c r="E238" s="107" t="n">
        <x:v>46134.664132314814</x:v>
      </x:c>
      <x:c r="F238" s="76" t="str">
        <x:v>registration</x:v>
      </x:c>
      <x:c r="G238" s="113" t="n">
        <x:f>ROUND((E238-D238)*1440,1)</x:f>
        <x:v>4.9</x:v>
      </x:c>
      <x:c r="H238" s="113" t="n">
        <x:f>ROUND((D238-C238)*1440,1)</x:f>
        <x:v>0.2</x:v>
      </x:c>
      <x:c r="I238" s="113" t="n">
        <x:f>ROUND((E238-C238)*1440,1)</x:f>
        <x:v>5.1</x:v>
      </x:c>
      <x:c r="J238" s="113" t="n">
        <x:f>IF(A238=A237,ROUND((C238-C237)*1440,1),0)</x:f>
        <x:v>8.6</x:v>
      </x:c>
      <x:c r="K238" s="76" t="str">
        <x:v>FrontDesk-01</x:v>
      </x:c>
      <x:c r="L238" s="113" t="n">
        <x:f>MAX(0,COUNTIFS($A$2:$A$401,A238,$C$2:$C$401,"&lt;"&amp;C238,$E$2:$E$401,"&gt;"&amp;C238)-1)</x:f>
        <x:v>0</x:v>
      </x:c>
      <x:c r="M238" s="113" t="n">
        <x:f>HOUR(C238)</x:f>
        <x:v>15</x:v>
      </x:c>
      <x:c r="N238" s="119" t="n">
        <x:f>ROUND((C238-A238-TIME(8,0,0))*1440,1)</x:f>
        <x:v>471.2</x:v>
      </x:c>
    </x:row>
    <x:row r="239" ht="18" customHeight="1">
      <x:c r="A239" s="101" t="n">
        <x:v>46134</x:v>
      </x:c>
      <x:c r="B239" s="76" t="str">
        <x:v>P0238</x:v>
      </x:c>
      <x:c r="C239" s="107" t="n">
        <x:v>46134.665187569444</x:v>
      </x:c>
      <x:c r="D239" s="107" t="n">
        <x:v>46134.665187569444</x:v>
      </x:c>
      <x:c r="E239" s="107" t="n">
        <x:v>46134.66907645833</x:v>
      </x:c>
      <x:c r="F239" s="76" t="str">
        <x:v>registration</x:v>
      </x:c>
      <x:c r="G239" s="113" t="n">
        <x:f>ROUND((E239-D239)*1440,1)</x:f>
        <x:v>5.6</x:v>
      </x:c>
      <x:c r="H239" s="113" t="n">
        <x:f>ROUND((D239-C239)*1440,1)</x:f>
        <x:v>0</x:v>
      </x:c>
      <x:c r="I239" s="113" t="n">
        <x:f>ROUND((E239-C239)*1440,1)</x:f>
        <x:v>5.6</x:v>
      </x:c>
      <x:c r="J239" s="113" t="n">
        <x:f>IF(A239=A238,ROUND((C239-C238)*1440,1),0)</x:f>
        <x:v>6.6</x:v>
      </x:c>
      <x:c r="K239" s="76" t="str">
        <x:v>FrontDesk-01</x:v>
      </x:c>
      <x:c r="L239" s="113" t="n">
        <x:f>MAX(0,COUNTIFS($A$2:$A$401,A239,$C$2:$C$401,"&lt;"&amp;C239,$E$2:$E$401,"&gt;"&amp;C239)-1)</x:f>
        <x:v>0</x:v>
      </x:c>
      <x:c r="M239" s="113" t="n">
        <x:f>HOUR(C239)</x:f>
        <x:v>15</x:v>
      </x:c>
      <x:c r="N239" s="119" t="n">
        <x:f>ROUND((C239-A239-TIME(8,0,0))*1440,1)</x:f>
        <x:v>477.9</x:v>
      </x:c>
    </x:row>
    <x:row r="240" ht="18" customHeight="1">
      <x:c r="A240" s="101" t="n">
        <x:v>46135</x:v>
      </x:c>
      <x:c r="B240" s="76" t="str">
        <x:v>P0239</x:v>
      </x:c>
      <x:c r="C240" s="107" t="n">
        <x:v>46135.33813391204</x:v>
      </x:c>
      <x:c r="D240" s="107" t="n">
        <x:v>46135.33813391204</x:v>
      </x:c>
      <x:c r="E240" s="107" t="n">
        <x:v>46135.34264780093</x:v>
      </x:c>
      <x:c r="F240" s="76" t="str">
        <x:v>sample_submission</x:v>
      </x:c>
      <x:c r="G240" s="113" t="n">
        <x:f>ROUND((E240-D240)*1440,1)</x:f>
        <x:v>6.5</x:v>
      </x:c>
      <x:c r="H240" s="113" t="n">
        <x:f>ROUND((D240-C240)*1440,1)</x:f>
        <x:v>0</x:v>
      </x:c>
      <x:c r="I240" s="113" t="n">
        <x:f>ROUND((E240-C240)*1440,1)</x:f>
        <x:v>6.5</x:v>
      </x:c>
      <x:c r="J240" s="113" t="n">
        <x:f>IF(A240=A239,ROUND((C240-C239)*1440,1),0)</x:f>
        <x:v>0</x:v>
      </x:c>
      <x:c r="K240" s="76" t="str">
        <x:v>FrontDesk-01</x:v>
      </x:c>
      <x:c r="L240" s="113" t="n">
        <x:f>MAX(0,COUNTIFS($A$2:$A$401,A240,$C$2:$C$401,"&lt;"&amp;C240,$E$2:$E$401,"&gt;"&amp;C240)-1)</x:f>
        <x:v>0</x:v>
      </x:c>
      <x:c r="M240" s="113" t="n">
        <x:f>HOUR(C240)</x:f>
        <x:v>8</x:v>
      </x:c>
      <x:c r="N240" s="119" t="n">
        <x:f>ROUND((C240-A240-TIME(8,0,0))*1440,1)</x:f>
        <x:v>6.9</x:v>
      </x:c>
    </x:row>
    <x:row r="241" ht="18" customHeight="1">
      <x:c r="A241" s="101" t="n">
        <x:v>46135</x:v>
      </x:c>
      <x:c r="B241" s="76" t="str">
        <x:v>P0240</x:v>
      </x:c>
      <x:c r="C241" s="107" t="n">
        <x:v>46135.34007131944</x:v>
      </x:c>
      <x:c r="D241" s="107" t="n">
        <x:v>46135.34264780093</x:v>
      </x:c>
      <x:c r="E241" s="107" t="n">
        <x:v>46135.34681446759</x:v>
      </x:c>
      <x:c r="F241" s="76" t="str">
        <x:v>sample_submission</x:v>
      </x:c>
      <x:c r="G241" s="113" t="n">
        <x:f>ROUND((E241-D241)*1440,1)</x:f>
        <x:v>6</x:v>
      </x:c>
      <x:c r="H241" s="113" t="n">
        <x:f>ROUND((D241-C241)*1440,1)</x:f>
        <x:v>3.7</x:v>
      </x:c>
      <x:c r="I241" s="113" t="n">
        <x:f>ROUND((E241-C241)*1440,1)</x:f>
        <x:v>9.7</x:v>
      </x:c>
      <x:c r="J241" s="113" t="n">
        <x:f>IF(A241=A240,ROUND((C241-C240)*1440,1),0)</x:f>
        <x:v>2.8</x:v>
      </x:c>
      <x:c r="K241" s="76" t="str">
        <x:v>FrontDesk-01</x:v>
      </x:c>
      <x:c r="L241" s="113" t="n">
        <x:f>MAX(0,COUNTIFS($A$2:$A$401,A241,$C$2:$C$401,"&lt;"&amp;C241,$E$2:$E$401,"&gt;"&amp;C241)-1)</x:f>
        <x:v>0</x:v>
      </x:c>
      <x:c r="M241" s="113" t="n">
        <x:f>HOUR(C241)</x:f>
        <x:v>8</x:v>
      </x:c>
      <x:c r="N241" s="119" t="n">
        <x:f>ROUND((C241-A241-TIME(8,0,0))*1440,1)</x:f>
        <x:v>9.7</x:v>
      </x:c>
    </x:row>
    <x:row r="242" ht="18" customHeight="1">
      <x:c r="A242" s="101" t="n">
        <x:v>46135</x:v>
      </x:c>
      <x:c r="B242" s="76" t="str">
        <x:v>P0241</x:v>
      </x:c>
      <x:c r="C242" s="107" t="n">
        <x:v>46135.35028475695</x:v>
      </x:c>
      <x:c r="D242" s="107" t="n">
        <x:v>46135.35028475695</x:v>
      </x:c>
      <x:c r="E242" s="107" t="n">
        <x:v>46135.35361809028</x:v>
      </x:c>
      <x:c r="F242" s="76" t="str">
        <x:v>sample_submission</x:v>
      </x:c>
      <x:c r="G242" s="113" t="n">
        <x:f>ROUND((E242-D242)*1440,1)</x:f>
        <x:v>4.8</x:v>
      </x:c>
      <x:c r="H242" s="113" t="n">
        <x:f>ROUND((D242-C242)*1440,1)</x:f>
        <x:v>0</x:v>
      </x:c>
      <x:c r="I242" s="113" t="n">
        <x:f>ROUND((E242-C242)*1440,1)</x:f>
        <x:v>4.8</x:v>
      </x:c>
      <x:c r="J242" s="113" t="n">
        <x:f>IF(A242=A241,ROUND((C242-C241)*1440,1),0)</x:f>
        <x:v>14.7</x:v>
      </x:c>
      <x:c r="K242" s="76" t="str">
        <x:v>FrontDesk-01</x:v>
      </x:c>
      <x:c r="L242" s="113" t="n">
        <x:f>MAX(0,COUNTIFS($A$2:$A$401,A242,$C$2:$C$401,"&lt;"&amp;C242,$E$2:$E$401,"&gt;"&amp;C242)-1)</x:f>
        <x:v>0</x:v>
      </x:c>
      <x:c r="M242" s="113" t="n">
        <x:f>HOUR(C242)</x:f>
        <x:v>8</x:v>
      </x:c>
      <x:c r="N242" s="119" t="n">
        <x:f>ROUND((C242-A242-TIME(8,0,0))*1440,1)</x:f>
        <x:v>24.4</x:v>
      </x:c>
    </x:row>
    <x:row r="243" ht="18" customHeight="1">
      <x:c r="A243" s="101" t="n">
        <x:v>46135</x:v>
      </x:c>
      <x:c r="B243" s="76" t="str">
        <x:v>P0242</x:v>
      </x:c>
      <x:c r="C243" s="107" t="n">
        <x:v>46135.35526200232</x:v>
      </x:c>
      <x:c r="D243" s="107" t="n">
        <x:v>46135.35526200232</x:v>
      </x:c>
      <x:c r="E243" s="107" t="n">
        <x:v>46135.35797033565</x:v>
      </x:c>
      <x:c r="F243" s="76" t="str">
        <x:v>billing_payment</x:v>
      </x:c>
      <x:c r="G243" s="113" t="n">
        <x:f>ROUND((E243-D243)*1440,1)</x:f>
        <x:v>3.9</x:v>
      </x:c>
      <x:c r="H243" s="113" t="n">
        <x:f>ROUND((D243-C243)*1440,1)</x:f>
        <x:v>0</x:v>
      </x:c>
      <x:c r="I243" s="113" t="n">
        <x:f>ROUND((E243-C243)*1440,1)</x:f>
        <x:v>3.9</x:v>
      </x:c>
      <x:c r="J243" s="113" t="n">
        <x:f>IF(A243=A242,ROUND((C243-C242)*1440,1),0)</x:f>
        <x:v>7.2</x:v>
      </x:c>
      <x:c r="K243" s="76" t="str">
        <x:v>FrontDesk-01</x:v>
      </x:c>
      <x:c r="L243" s="113" t="n">
        <x:f>MAX(0,COUNTIFS($A$2:$A$401,A243,$C$2:$C$401,"&lt;"&amp;C243,$E$2:$E$401,"&gt;"&amp;C243)-1)</x:f>
        <x:v>0</x:v>
      </x:c>
      <x:c r="M243" s="113" t="n">
        <x:f>HOUR(C243)</x:f>
        <x:v>8</x:v>
      </x:c>
      <x:c r="N243" s="119" t="n">
        <x:f>ROUND((C243-A243-TIME(8,0,0))*1440,1)</x:f>
        <x:v>31.6</x:v>
      </x:c>
    </x:row>
    <x:row r="244" ht="18" customHeight="1">
      <x:c r="A244" s="101" t="n">
        <x:v>46135</x:v>
      </x:c>
      <x:c r="B244" s="76" t="str">
        <x:v>P0243</x:v>
      </x:c>
      <x:c r="C244" s="107" t="n">
        <x:v>46135.35780013889</x:v>
      </x:c>
      <x:c r="D244" s="107" t="n">
        <x:v>46135.35797033565</x:v>
      </x:c>
      <x:c r="E244" s="107" t="n">
        <x:v>46135.360262002316</x:v>
      </x:c>
      <x:c r="F244" s="76" t="str">
        <x:v>sample_submission</x:v>
      </x:c>
      <x:c r="G244" s="113" t="n">
        <x:f>ROUND((E244-D244)*1440,1)</x:f>
        <x:v>3.3</x:v>
      </x:c>
      <x:c r="H244" s="113" t="n">
        <x:f>ROUND((D244-C244)*1440,1)</x:f>
        <x:v>0.2</x:v>
      </x:c>
      <x:c r="I244" s="113" t="n">
        <x:f>ROUND((E244-C244)*1440,1)</x:f>
        <x:v>3.5</x:v>
      </x:c>
      <x:c r="J244" s="113" t="n">
        <x:f>IF(A244=A243,ROUND((C244-C243)*1440,1),0)</x:f>
        <x:v>3.7</x:v>
      </x:c>
      <x:c r="K244" s="76" t="str">
        <x:v>FrontDesk-01</x:v>
      </x:c>
      <x:c r="L244" s="113" t="n">
        <x:f>MAX(0,COUNTIFS($A$2:$A$401,A244,$C$2:$C$401,"&lt;"&amp;C244,$E$2:$E$401,"&gt;"&amp;C244)-1)</x:f>
        <x:v>0</x:v>
      </x:c>
      <x:c r="M244" s="113" t="n">
        <x:f>HOUR(C244)</x:f>
        <x:v>8</x:v>
      </x:c>
      <x:c r="N244" s="119" t="n">
        <x:f>ROUND((C244-A244-TIME(8,0,0))*1440,1)</x:f>
        <x:v>35.2</x:v>
      </x:c>
    </x:row>
    <x:row r="245" ht="18" customHeight="1">
      <x:c r="A245" s="101" t="n">
        <x:v>46135</x:v>
      </x:c>
      <x:c r="B245" s="76" t="str">
        <x:v>P0244</x:v>
      </x:c>
      <x:c r="C245" s="107" t="n">
        <x:v>46135.3596415625</x:v>
      </x:c>
      <x:c r="D245" s="107" t="n">
        <x:v>46135.360262002316</x:v>
      </x:c>
      <x:c r="E245" s="107" t="n">
        <x:v>46135.364150891204</x:v>
      </x:c>
      <x:c r="F245" s="76" t="str">
        <x:v>registration</x:v>
      </x:c>
      <x:c r="G245" s="113" t="n">
        <x:f>ROUND((E245-D245)*1440,1)</x:f>
        <x:v>5.6</x:v>
      </x:c>
      <x:c r="H245" s="113" t="n">
        <x:f>ROUND((D245-C245)*1440,1)</x:f>
        <x:v>0.9</x:v>
      </x:c>
      <x:c r="I245" s="113" t="n">
        <x:f>ROUND((E245-C245)*1440,1)</x:f>
        <x:v>6.5</x:v>
      </x:c>
      <x:c r="J245" s="113" t="n">
        <x:f>IF(A245=A244,ROUND((C245-C244)*1440,1),0)</x:f>
        <x:v>2.7</x:v>
      </x:c>
      <x:c r="K245" s="76" t="str">
        <x:v>FrontDesk-01</x:v>
      </x:c>
      <x:c r="L245" s="113" t="n">
        <x:f>MAX(0,COUNTIFS($A$2:$A$401,A245,$C$2:$C$401,"&lt;"&amp;C245,$E$2:$E$401,"&gt;"&amp;C245)-1)</x:f>
        <x:v>0</x:v>
      </x:c>
      <x:c r="M245" s="113" t="n">
        <x:f>HOUR(C245)</x:f>
        <x:v>8</x:v>
      </x:c>
      <x:c r="N245" s="119" t="n">
        <x:f>ROUND((C245-A245-TIME(8,0,0))*1440,1)</x:f>
        <x:v>37.9</x:v>
      </x:c>
    </x:row>
    <x:row r="246" ht="18" customHeight="1">
      <x:c r="A246" s="101" t="n">
        <x:v>46135</x:v>
      </x:c>
      <x:c r="B246" s="76" t="str">
        <x:v>P0245</x:v>
      </x:c>
      <x:c r="C246" s="107" t="n">
        <x:v>46135.36101461806</x:v>
      </x:c>
      <x:c r="D246" s="107" t="n">
        <x:v>46135.364150891204</x:v>
      </x:c>
      <x:c r="E246" s="107" t="n">
        <x:v>46135.368248113424</x:v>
      </x:c>
      <x:c r="F246" s="76" t="str">
        <x:v>sample_submission</x:v>
      </x:c>
      <x:c r="G246" s="113" t="n">
        <x:f>ROUND((E246-D246)*1440,1)</x:f>
        <x:v>5.9</x:v>
      </x:c>
      <x:c r="H246" s="113" t="n">
        <x:f>ROUND((D246-C246)*1440,1)</x:f>
        <x:v>4.5</x:v>
      </x:c>
      <x:c r="I246" s="113" t="n">
        <x:f>ROUND((E246-C246)*1440,1)</x:f>
        <x:v>10.4</x:v>
      </x:c>
      <x:c r="J246" s="113" t="n">
        <x:f>IF(A246=A245,ROUND((C246-C245)*1440,1),0)</x:f>
        <x:v>2</x:v>
      </x:c>
      <x:c r="K246" s="76" t="str">
        <x:v>FrontDesk-01</x:v>
      </x:c>
      <x:c r="L246" s="113" t="n">
        <x:f>MAX(0,COUNTIFS($A$2:$A$401,A246,$C$2:$C$401,"&lt;"&amp;C246,$E$2:$E$401,"&gt;"&amp;C246)-1)</x:f>
        <x:v>0</x:v>
      </x:c>
      <x:c r="M246" s="113" t="n">
        <x:f>HOUR(C246)</x:f>
        <x:v>8</x:v>
      </x:c>
      <x:c r="N246" s="119" t="n">
        <x:f>ROUND((C246-A246-TIME(8,0,0))*1440,1)</x:f>
        <x:v>39.9</x:v>
      </x:c>
    </x:row>
    <x:row r="247" ht="18" customHeight="1">
      <x:c r="A247" s="101" t="n">
        <x:v>46135</x:v>
      </x:c>
      <x:c r="B247" s="76" t="str">
        <x:v>P0246</x:v>
      </x:c>
      <x:c r="C247" s="107" t="n">
        <x:v>46135.36529142361</x:v>
      </x:c>
      <x:c r="D247" s="107" t="n">
        <x:v>46135.368248113424</x:v>
      </x:c>
      <x:c r="E247" s="107" t="n">
        <x:v>46135.36922033565</x:v>
      </x:c>
      <x:c r="F247" s="76" t="str">
        <x:v>report_collection</x:v>
      </x:c>
      <x:c r="G247" s="113" t="n">
        <x:f>ROUND((E247-D247)*1440,1)</x:f>
        <x:v>1.4</x:v>
      </x:c>
      <x:c r="H247" s="113" t="n">
        <x:f>ROUND((D247-C247)*1440,1)</x:f>
        <x:v>4.3</x:v>
      </x:c>
      <x:c r="I247" s="113" t="n">
        <x:f>ROUND((E247-C247)*1440,1)</x:f>
        <x:v>5.7</x:v>
      </x:c>
      <x:c r="J247" s="113" t="n">
        <x:f>IF(A247=A246,ROUND((C247-C246)*1440,1),0)</x:f>
        <x:v>6.2</x:v>
      </x:c>
      <x:c r="K247" s="76" t="str">
        <x:v>FrontDesk-01</x:v>
      </x:c>
      <x:c r="L247" s="113" t="n">
        <x:f>MAX(0,COUNTIFS($A$2:$A$401,A247,$C$2:$C$401,"&lt;"&amp;C247,$E$2:$E$401,"&gt;"&amp;C247)-1)</x:f>
        <x:v>0</x:v>
      </x:c>
      <x:c r="M247" s="113" t="n">
        <x:f>HOUR(C247)</x:f>
        <x:v>8</x:v>
      </x:c>
      <x:c r="N247" s="119" t="n">
        <x:f>ROUND((C247-A247-TIME(8,0,0))*1440,1)</x:f>
        <x:v>46</x:v>
      </x:c>
    </x:row>
    <x:row r="248" ht="18" customHeight="1">
      <x:c r="A248" s="101" t="n">
        <x:v>46135</x:v>
      </x:c>
      <x:c r="B248" s="76" t="str">
        <x:v>P0247</x:v>
      </x:c>
      <x:c r="C248" s="107" t="n">
        <x:v>46135.36575938657</x:v>
      </x:c>
      <x:c r="D248" s="107" t="n">
        <x:v>46135.36922033565</x:v>
      </x:c>
      <x:c r="E248" s="107" t="n">
        <x:v>46135.37172033565</x:v>
      </x:c>
      <x:c r="F248" s="76" t="str">
        <x:v>registration</x:v>
      </x:c>
      <x:c r="G248" s="113" t="n">
        <x:f>ROUND((E248-D248)*1440,1)</x:f>
        <x:v>3.6</x:v>
      </x:c>
      <x:c r="H248" s="113" t="n">
        <x:f>ROUND((D248-C248)*1440,1)</x:f>
        <x:v>5</x:v>
      </x:c>
      <x:c r="I248" s="113" t="n">
        <x:f>ROUND((E248-C248)*1440,1)</x:f>
        <x:v>8.6</x:v>
      </x:c>
      <x:c r="J248" s="113" t="n">
        <x:f>IF(A248=A247,ROUND((C248-C247)*1440,1),0)</x:f>
        <x:v>0.7</x:v>
      </x:c>
      <x:c r="K248" s="76" t="str">
        <x:v>FrontDesk-01</x:v>
      </x:c>
      <x:c r="L248" s="113" t="n">
        <x:f>MAX(0,COUNTIFS($A$2:$A$401,A248,$C$2:$C$401,"&lt;"&amp;C248,$E$2:$E$401,"&gt;"&amp;C248)-1)</x:f>
        <x:v>1</x:v>
      </x:c>
      <x:c r="M248" s="113" t="n">
        <x:f>HOUR(C248)</x:f>
        <x:v>8</x:v>
      </x:c>
      <x:c r="N248" s="119" t="n">
        <x:f>ROUND((C248-A248-TIME(8,0,0))*1440,1)</x:f>
        <x:v>46.7</x:v>
      </x:c>
    </x:row>
    <x:row r="249" ht="18" customHeight="1">
      <x:c r="A249" s="101" t="n">
        <x:v>46135</x:v>
      </x:c>
      <x:c r="B249" s="76" t="str">
        <x:v>P0248</x:v>
      </x:c>
      <x:c r="C249" s="107" t="n">
        <x:v>46135.37064671296</x:v>
      </x:c>
      <x:c r="D249" s="107" t="n">
        <x:v>46135.37172033565</x:v>
      </x:c>
      <x:c r="E249" s="107" t="n">
        <x:v>46135.375053668984</x:v>
      </x:c>
      <x:c r="F249" s="76" t="str">
        <x:v>registration</x:v>
      </x:c>
      <x:c r="G249" s="113" t="n">
        <x:f>ROUND((E249-D249)*1440,1)</x:f>
        <x:v>4.8</x:v>
      </x:c>
      <x:c r="H249" s="113" t="n">
        <x:f>ROUND((D249-C249)*1440,1)</x:f>
        <x:v>1.5</x:v>
      </x:c>
      <x:c r="I249" s="113" t="n">
        <x:f>ROUND((E249-C249)*1440,1)</x:f>
        <x:v>6.3</x:v>
      </x:c>
      <x:c r="J249" s="113" t="n">
        <x:f>IF(A249=A248,ROUND((C249-C248)*1440,1),0)</x:f>
        <x:v>7</x:v>
      </x:c>
      <x:c r="K249" s="76" t="str">
        <x:v>FrontDesk-01</x:v>
      </x:c>
      <x:c r="L249" s="113" t="n">
        <x:f>MAX(0,COUNTIFS($A$2:$A$401,A249,$C$2:$C$401,"&lt;"&amp;C249,$E$2:$E$401,"&gt;"&amp;C249)-1)</x:f>
        <x:v>0</x:v>
      </x:c>
      <x:c r="M249" s="113" t="n">
        <x:f>HOUR(C249)</x:f>
        <x:v>8</x:v>
      </x:c>
      <x:c r="N249" s="119" t="n">
        <x:f>ROUND((C249-A249-TIME(8,0,0))*1440,1)</x:f>
        <x:v>53.7</x:v>
      </x:c>
    </x:row>
    <x:row r="250" ht="18" customHeight="1">
      <x:c r="A250" s="101" t="n">
        <x:v>46135</x:v>
      </x:c>
      <x:c r="B250" s="76" t="str">
        <x:v>P0249</x:v>
      </x:c>
      <x:c r="C250" s="107" t="n">
        <x:v>46135.37147539352</x:v>
      </x:c>
      <x:c r="D250" s="107" t="n">
        <x:v>46135.375053668984</x:v>
      </x:c>
      <x:c r="E250" s="107" t="n">
        <x:v>46135.37797033565</x:v>
      </x:c>
      <x:c r="F250" s="76" t="str">
        <x:v>registration</x:v>
      </x:c>
      <x:c r="G250" s="113" t="n">
        <x:f>ROUND((E250-D250)*1440,1)</x:f>
        <x:v>4.2</x:v>
      </x:c>
      <x:c r="H250" s="113" t="n">
        <x:f>ROUND((D250-C250)*1440,1)</x:f>
        <x:v>5.2</x:v>
      </x:c>
      <x:c r="I250" s="113" t="n">
        <x:f>ROUND((E250-C250)*1440,1)</x:f>
        <x:v>9.4</x:v>
      </x:c>
      <x:c r="J250" s="113" t="n">
        <x:f>IF(A250=A249,ROUND((C250-C249)*1440,1),0)</x:f>
        <x:v>1.2</x:v>
      </x:c>
      <x:c r="K250" s="76" t="str">
        <x:v>FrontDesk-01</x:v>
      </x:c>
      <x:c r="L250" s="113" t="n">
        <x:f>MAX(0,COUNTIFS($A$2:$A$401,A250,$C$2:$C$401,"&lt;"&amp;C250,$E$2:$E$401,"&gt;"&amp;C250)-1)</x:f>
        <x:v>1</x:v>
      </x:c>
      <x:c r="M250" s="113" t="n">
        <x:f>HOUR(C250)</x:f>
        <x:v>8</x:v>
      </x:c>
      <x:c r="N250" s="119" t="n">
        <x:f>ROUND((C250-A250-TIME(8,0,0))*1440,1)</x:f>
        <x:v>54.9</x:v>
      </x:c>
    </x:row>
    <x:row r="251" ht="18" customHeight="1">
      <x:c r="A251" s="101" t="n">
        <x:v>46135</x:v>
      </x:c>
      <x:c r="B251" s="76" t="str">
        <x:v>P0250</x:v>
      </x:c>
      <x:c r="C251" s="107" t="n">
        <x:v>46135.37167954861</x:v>
      </x:c>
      <x:c r="D251" s="107" t="n">
        <x:v>46135.37797033565</x:v>
      </x:c>
      <x:c r="E251" s="107" t="n">
        <x:v>46135.381025891205</x:v>
      </x:c>
      <x:c r="F251" s="76" t="str">
        <x:v>billing_payment</x:v>
      </x:c>
      <x:c r="G251" s="113" t="n">
        <x:f>ROUND((E251-D251)*1440,1)</x:f>
        <x:v>4.4</x:v>
      </x:c>
      <x:c r="H251" s="113" t="n">
        <x:f>ROUND((D251-C251)*1440,1)</x:f>
        <x:v>9.1</x:v>
      </x:c>
      <x:c r="I251" s="113" t="n">
        <x:f>ROUND((E251-C251)*1440,1)</x:f>
        <x:v>13.5</x:v>
      </x:c>
      <x:c r="J251" s="113" t="n">
        <x:f>IF(A251=A250,ROUND((C251-C250)*1440,1),0)</x:f>
        <x:v>0.3</x:v>
      </x:c>
      <x:c r="K251" s="76" t="str">
        <x:v>FrontDesk-01</x:v>
      </x:c>
      <x:c r="L251" s="113" t="n">
        <x:f>MAX(0,COUNTIFS($A$2:$A$401,A251,$C$2:$C$401,"&lt;"&amp;C251,$E$2:$E$401,"&gt;"&amp;C251)-1)</x:f>
        <x:v>2</x:v>
      </x:c>
      <x:c r="M251" s="113" t="n">
        <x:f>HOUR(C251)</x:f>
        <x:v>8</x:v>
      </x:c>
      <x:c r="N251" s="119" t="n">
        <x:f>ROUND((C251-A251-TIME(8,0,0))*1440,1)</x:f>
        <x:v>55.2</x:v>
      </x:c>
    </x:row>
    <x:row r="252" ht="18" customHeight="1">
      <x:c r="A252" s="101" t="n">
        <x:v>46135</x:v>
      </x:c>
      <x:c r="B252" s="76" t="str">
        <x:v>P0251</x:v>
      </x:c>
      <x:c r="C252" s="107" t="n">
        <x:v>46135.37421716435</x:v>
      </x:c>
      <x:c r="D252" s="107" t="n">
        <x:v>46135.381025891205</x:v>
      </x:c>
      <x:c r="E252" s="107" t="n">
        <x:v>46135.38588700232</x:v>
      </x:c>
      <x:c r="F252" s="76" t="str">
        <x:v>sample_submission</x:v>
      </x:c>
      <x:c r="G252" s="113" t="n">
        <x:f>ROUND((E252-D252)*1440,1)</x:f>
        <x:v>7</x:v>
      </x:c>
      <x:c r="H252" s="113" t="n">
        <x:f>ROUND((D252-C252)*1440,1)</x:f>
        <x:v>9.8</x:v>
      </x:c>
      <x:c r="I252" s="113" t="n">
        <x:f>ROUND((E252-C252)*1440,1)</x:f>
        <x:v>16.8</x:v>
      </x:c>
      <x:c r="J252" s="113" t="n">
        <x:f>IF(A252=A251,ROUND((C252-C251)*1440,1),0)</x:f>
        <x:v>3.7</x:v>
      </x:c>
      <x:c r="K252" s="76" t="str">
        <x:v>FrontDesk-01</x:v>
      </x:c>
      <x:c r="L252" s="113" t="n">
        <x:f>MAX(0,COUNTIFS($A$2:$A$401,A252,$C$2:$C$401,"&lt;"&amp;C252,$E$2:$E$401,"&gt;"&amp;C252)-1)</x:f>
        <x:v>2</x:v>
      </x:c>
      <x:c r="M252" s="113" t="n">
        <x:f>HOUR(C252)</x:f>
        <x:v>8</x:v>
      </x:c>
      <x:c r="N252" s="119" t="n">
        <x:f>ROUND((C252-A252-TIME(8,0,0))*1440,1)</x:f>
        <x:v>58.9</x:v>
      </x:c>
    </x:row>
    <x:row r="253" ht="18" customHeight="1">
      <x:c r="A253" s="101" t="n">
        <x:v>46135</x:v>
      </x:c>
      <x:c r="B253" s="76" t="str">
        <x:v>P0252</x:v>
      </x:c>
      <x:c r="C253" s="107" t="n">
        <x:v>46135.375027152775</x:v>
      </x:c>
      <x:c r="D253" s="107" t="n">
        <x:v>46135.38588700232</x:v>
      </x:c>
      <x:c r="E253" s="107" t="n">
        <x:v>46135.38935922454</x:v>
      </x:c>
      <x:c r="F253" s="76" t="str">
        <x:v>sample_submission</x:v>
      </x:c>
      <x:c r="G253" s="113" t="n">
        <x:f>ROUND((E253-D253)*1440,1)</x:f>
        <x:v>5</x:v>
      </x:c>
      <x:c r="H253" s="113" t="n">
        <x:f>ROUND((D253-C253)*1440,1)</x:f>
        <x:v>15.6</x:v>
      </x:c>
      <x:c r="I253" s="113" t="n">
        <x:f>ROUND((E253-C253)*1440,1)</x:f>
        <x:v>20.6</x:v>
      </x:c>
      <x:c r="J253" s="113" t="n">
        <x:f>IF(A253=A252,ROUND((C253-C252)*1440,1),0)</x:f>
        <x:v>1.2</x:v>
      </x:c>
      <x:c r="K253" s="76" t="str">
        <x:v>FrontDesk-01</x:v>
      </x:c>
      <x:c r="L253" s="113" t="n">
        <x:f>MAX(0,COUNTIFS($A$2:$A$401,A253,$C$2:$C$401,"&lt;"&amp;C253,$E$2:$E$401,"&gt;"&amp;C253)-1)</x:f>
        <x:v>3</x:v>
      </x:c>
      <x:c r="M253" s="113" t="n">
        <x:f>HOUR(C253)</x:f>
        <x:v>9</x:v>
      </x:c>
      <x:c r="N253" s="119" t="n">
        <x:f>ROUND((C253-A253-TIME(8,0,0))*1440,1)</x:f>
        <x:v>60</x:v>
      </x:c>
    </x:row>
    <x:row r="254" ht="18" customHeight="1">
      <x:c r="A254" s="101" t="n">
        <x:v>46135</x:v>
      </x:c>
      <x:c r="B254" s="76" t="str">
        <x:v>P0253</x:v>
      </x:c>
      <x:c r="C254" s="107" t="n">
        <x:v>46135.37532518519</x:v>
      </x:c>
      <x:c r="D254" s="107" t="n">
        <x:v>46135.38935922454</x:v>
      </x:c>
      <x:c r="E254" s="107" t="n">
        <x:v>46135.39081755787</x:v>
      </x:c>
      <x:c r="F254" s="76" t="str">
        <x:v>report_collection</x:v>
      </x:c>
      <x:c r="G254" s="113" t="n">
        <x:f>ROUND((E254-D254)*1440,1)</x:f>
        <x:v>2.1</x:v>
      </x:c>
      <x:c r="H254" s="113" t="n">
        <x:f>ROUND((D254-C254)*1440,1)</x:f>
        <x:v>20.2</x:v>
      </x:c>
      <x:c r="I254" s="113" t="n">
        <x:f>ROUND((E254-C254)*1440,1)</x:f>
        <x:v>22.3</x:v>
      </x:c>
      <x:c r="J254" s="113" t="n">
        <x:f>IF(A254=A253,ROUND((C254-C253)*1440,1),0)</x:f>
        <x:v>0.4</x:v>
      </x:c>
      <x:c r="K254" s="76" t="str">
        <x:v>FrontDesk-01</x:v>
      </x:c>
      <x:c r="L254" s="113" t="n">
        <x:f>MAX(0,COUNTIFS($A$2:$A$401,A254,$C$2:$C$401,"&lt;"&amp;C254,$E$2:$E$401,"&gt;"&amp;C254)-1)</x:f>
        <x:v>3</x:v>
      </x:c>
      <x:c r="M254" s="113" t="n">
        <x:f>HOUR(C254)</x:f>
        <x:v>9</x:v>
      </x:c>
      <x:c r="N254" s="119" t="n">
        <x:f>ROUND((C254-A254-TIME(8,0,0))*1440,1)</x:f>
        <x:v>60.5</x:v>
      </x:c>
    </x:row>
    <x:row r="255" ht="18" customHeight="1">
      <x:c r="A255" s="101" t="n">
        <x:v>46135</x:v>
      </x:c>
      <x:c r="B255" s="76" t="str">
        <x:v>P0254</x:v>
      </x:c>
      <x:c r="C255" s="107" t="n">
        <x:v>46135.37606019676</x:v>
      </x:c>
      <x:c r="D255" s="107" t="n">
        <x:v>46135.39081755787</x:v>
      </x:c>
      <x:c r="E255" s="107" t="n">
        <x:v>46135.3916508912</x:v>
      </x:c>
      <x:c r="F255" s="76" t="str">
        <x:v>inquiry</x:v>
      </x:c>
      <x:c r="G255" s="113" t="n">
        <x:f>ROUND((E255-D255)*1440,1)</x:f>
        <x:v>1.2</x:v>
      </x:c>
      <x:c r="H255" s="113" t="n">
        <x:f>ROUND((D255-C255)*1440,1)</x:f>
        <x:v>21.3</x:v>
      </x:c>
      <x:c r="I255" s="113" t="n">
        <x:f>ROUND((E255-C255)*1440,1)</x:f>
        <x:v>22.5</x:v>
      </x:c>
      <x:c r="J255" s="113" t="n">
        <x:f>IF(A255=A254,ROUND((C255-C254)*1440,1),0)</x:f>
        <x:v>1.1</x:v>
      </x:c>
      <x:c r="K255" s="76" t="str">
        <x:v>FrontDesk-01</x:v>
      </x:c>
      <x:c r="L255" s="113" t="n">
        <x:f>MAX(0,COUNTIFS($A$2:$A$401,A255,$C$2:$C$401,"&lt;"&amp;C255,$E$2:$E$401,"&gt;"&amp;C255)-1)</x:f>
        <x:v>4</x:v>
      </x:c>
      <x:c r="M255" s="113" t="n">
        <x:f>HOUR(C255)</x:f>
        <x:v>9</x:v>
      </x:c>
      <x:c r="N255" s="119" t="n">
        <x:f>ROUND((C255-A255-TIME(8,0,0))*1440,1)</x:f>
        <x:v>61.5</x:v>
      </x:c>
    </x:row>
    <x:row r="256" ht="18" customHeight="1">
      <x:c r="A256" s="101" t="n">
        <x:v>46135</x:v>
      </x:c>
      <x:c r="B256" s="76" t="str">
        <x:v>P0255</x:v>
      </x:c>
      <x:c r="C256" s="107" t="n">
        <x:v>46135.3765369213</x:v>
      </x:c>
      <x:c r="D256" s="107" t="n">
        <x:v>46135.3916508912</x:v>
      </x:c>
      <x:c r="E256" s="107" t="n">
        <x:v>46135.39644255787</x:v>
      </x:c>
      <x:c r="F256" s="76" t="str">
        <x:v>sample_submission</x:v>
      </x:c>
      <x:c r="G256" s="113" t="n">
        <x:f>ROUND((E256-D256)*1440,1)</x:f>
        <x:v>6.9</x:v>
      </x:c>
      <x:c r="H256" s="113" t="n">
        <x:f>ROUND((D256-C256)*1440,1)</x:f>
        <x:v>21.8</x:v>
      </x:c>
      <x:c r="I256" s="113" t="n">
        <x:f>ROUND((E256-C256)*1440,1)</x:f>
        <x:v>28.7</x:v>
      </x:c>
      <x:c r="J256" s="113" t="n">
        <x:f>IF(A256=A255,ROUND((C256-C255)*1440,1),0)</x:f>
        <x:v>0.7</x:v>
      </x:c>
      <x:c r="K256" s="76" t="str">
        <x:v>FrontDesk-01</x:v>
      </x:c>
      <x:c r="L256" s="113" t="n">
        <x:f>MAX(0,COUNTIFS($A$2:$A$401,A256,$C$2:$C$401,"&lt;"&amp;C256,$E$2:$E$401,"&gt;"&amp;C256)-1)</x:f>
        <x:v>5</x:v>
      </x:c>
      <x:c r="M256" s="113" t="n">
        <x:f>HOUR(C256)</x:f>
        <x:v>9</x:v>
      </x:c>
      <x:c r="N256" s="119" t="n">
        <x:f>ROUND((C256-A256-TIME(8,0,0))*1440,1)</x:f>
        <x:v>62.2</x:v>
      </x:c>
    </x:row>
    <x:row r="257" ht="18" customHeight="1">
      <x:c r="A257" s="101" t="n">
        <x:v>46135</x:v>
      </x:c>
      <x:c r="B257" s="76" t="str">
        <x:v>P0256</x:v>
      </x:c>
      <x:c r="C257" s="107" t="n">
        <x:v>46135.37722703704</x:v>
      </x:c>
      <x:c r="D257" s="107" t="n">
        <x:v>46135.39644255787</x:v>
      </x:c>
      <x:c r="E257" s="107" t="n">
        <x:v>46135.399428668985</x:v>
      </x:c>
      <x:c r="F257" s="76" t="str">
        <x:v>sample_submission</x:v>
      </x:c>
      <x:c r="G257" s="113" t="n">
        <x:f>ROUND((E257-D257)*1440,1)</x:f>
        <x:v>4.3</x:v>
      </x:c>
      <x:c r="H257" s="113" t="n">
        <x:f>ROUND((D257-C257)*1440,1)</x:f>
        <x:v>27.7</x:v>
      </x:c>
      <x:c r="I257" s="113" t="n">
        <x:f>ROUND((E257-C257)*1440,1)</x:f>
        <x:v>32</x:v>
      </x:c>
      <x:c r="J257" s="113" t="n">
        <x:f>IF(A257=A256,ROUND((C257-C256)*1440,1),0)</x:f>
        <x:v>1</x:v>
      </x:c>
      <x:c r="K257" s="76" t="str">
        <x:v>FrontDesk-01</x:v>
      </x:c>
      <x:c r="L257" s="113" t="n">
        <x:f>MAX(0,COUNTIFS($A$2:$A$401,A257,$C$2:$C$401,"&lt;"&amp;C257,$E$2:$E$401,"&gt;"&amp;C257)-1)</x:f>
        <x:v>6</x:v>
      </x:c>
      <x:c r="M257" s="113" t="n">
        <x:f>HOUR(C257)</x:f>
        <x:v>9</x:v>
      </x:c>
      <x:c r="N257" s="119" t="n">
        <x:f>ROUND((C257-A257-TIME(8,0,0))*1440,1)</x:f>
        <x:v>63.2</x:v>
      </x:c>
    </x:row>
    <x:row r="258" ht="18" customHeight="1">
      <x:c r="A258" s="101" t="n">
        <x:v>46135</x:v>
      </x:c>
      <x:c r="B258" s="76" t="str">
        <x:v>P0257</x:v>
      </x:c>
      <x:c r="C258" s="107" t="n">
        <x:v>46135.377740219905</x:v>
      </x:c>
      <x:c r="D258" s="107" t="n">
        <x:v>46135.399428668985</x:v>
      </x:c>
      <x:c r="E258" s="107" t="n">
        <x:v>46135.40026200232</x:v>
      </x:c>
      <x:c r="F258" s="76" t="str">
        <x:v>report_collection</x:v>
      </x:c>
      <x:c r="G258" s="113" t="n">
        <x:f>ROUND((E258-D258)*1440,1)</x:f>
        <x:v>1.2</x:v>
      </x:c>
      <x:c r="H258" s="113" t="n">
        <x:f>ROUND((D258-C258)*1440,1)</x:f>
        <x:v>31.2</x:v>
      </x:c>
      <x:c r="I258" s="113" t="n">
        <x:f>ROUND((E258-C258)*1440,1)</x:f>
        <x:v>32.4</x:v>
      </x:c>
      <x:c r="J258" s="113" t="n">
        <x:f>IF(A258=A257,ROUND((C258-C257)*1440,1),0)</x:f>
        <x:v>0.7</x:v>
      </x:c>
      <x:c r="K258" s="76" t="str">
        <x:v>FrontDesk-01</x:v>
      </x:c>
      <x:c r="L258" s="113" t="n">
        <x:f>MAX(0,COUNTIFS($A$2:$A$401,A258,$C$2:$C$401,"&lt;"&amp;C258,$E$2:$E$401,"&gt;"&amp;C258)-1)</x:f>
        <x:v>7</x:v>
      </x:c>
      <x:c r="M258" s="113" t="n">
        <x:f>HOUR(C258)</x:f>
        <x:v>9</x:v>
      </x:c>
      <x:c r="N258" s="119" t="n">
        <x:f>ROUND((C258-A258-TIME(8,0,0))*1440,1)</x:f>
        <x:v>63.9</x:v>
      </x:c>
    </x:row>
    <x:row r="259" ht="18" customHeight="1">
      <x:c r="A259" s="101" t="n">
        <x:v>46135</x:v>
      </x:c>
      <x:c r="B259" s="76" t="str">
        <x:v>P0258</x:v>
      </x:c>
      <x:c r="C259" s="107" t="n">
        <x:v>46135.37988962963</x:v>
      </x:c>
      <x:c r="D259" s="107" t="n">
        <x:v>46135.40026200232</x:v>
      </x:c>
      <x:c r="E259" s="107" t="n">
        <x:v>46135.40283144676</x:v>
      </x:c>
      <x:c r="F259" s="76" t="str">
        <x:v>registration</x:v>
      </x:c>
      <x:c r="G259" s="113" t="n">
        <x:f>ROUND((E259-D259)*1440,1)</x:f>
        <x:v>3.7</x:v>
      </x:c>
      <x:c r="H259" s="113" t="n">
        <x:f>ROUND((D259-C259)*1440,1)</x:f>
        <x:v>29.3</x:v>
      </x:c>
      <x:c r="I259" s="113" t="n">
        <x:f>ROUND((E259-C259)*1440,1)</x:f>
        <x:v>33</x:v>
      </x:c>
      <x:c r="J259" s="113" t="n">
        <x:f>IF(A259=A258,ROUND((C259-C258)*1440,1),0)</x:f>
        <x:v>3.1</x:v>
      </x:c>
      <x:c r="K259" s="76" t="str">
        <x:v>FrontDesk-01</x:v>
      </x:c>
      <x:c r="L259" s="113" t="n">
        <x:f>MAX(0,COUNTIFS($A$2:$A$401,A259,$C$2:$C$401,"&lt;"&amp;C259,$E$2:$E$401,"&gt;"&amp;C259)-1)</x:f>
        <x:v>7</x:v>
      </x:c>
      <x:c r="M259" s="113" t="n">
        <x:f>HOUR(C259)</x:f>
        <x:v>9</x:v>
      </x:c>
      <x:c r="N259" s="119" t="n">
        <x:f>ROUND((C259-A259-TIME(8,0,0))*1440,1)</x:f>
        <x:v>67</x:v>
      </x:c>
    </x:row>
    <x:row r="260" ht="18" customHeight="1">
      <x:c r="A260" s="101" t="n">
        <x:v>46135</x:v>
      </x:c>
      <x:c r="B260" s="76" t="str">
        <x:v>P0259</x:v>
      </x:c>
      <x:c r="C260" s="107" t="n">
        <x:v>46135.38071337963</x:v>
      </x:c>
      <x:c r="D260" s="107" t="n">
        <x:v>46135.40283144676</x:v>
      </x:c>
      <x:c r="E260" s="107" t="n">
        <x:v>46135.40553978009</x:v>
      </x:c>
      <x:c r="F260" s="76" t="str">
        <x:v>billing_payment</x:v>
      </x:c>
      <x:c r="G260" s="113" t="n">
        <x:f>ROUND((E260-D260)*1440,1)</x:f>
        <x:v>3.9</x:v>
      </x:c>
      <x:c r="H260" s="113" t="n">
        <x:f>ROUND((D260-C260)*1440,1)</x:f>
        <x:v>31.9</x:v>
      </x:c>
      <x:c r="I260" s="113" t="n">
        <x:f>ROUND((E260-C260)*1440,1)</x:f>
        <x:v>35.8</x:v>
      </x:c>
      <x:c r="J260" s="113" t="n">
        <x:f>IF(A260=A259,ROUND((C260-C259)*1440,1),0)</x:f>
        <x:v>1.2</x:v>
      </x:c>
      <x:c r="K260" s="76" t="str">
        <x:v>FrontDesk-01</x:v>
      </x:c>
      <x:c r="L260" s="113" t="n">
        <x:f>MAX(0,COUNTIFS($A$2:$A$401,A260,$C$2:$C$401,"&lt;"&amp;C260,$E$2:$E$401,"&gt;"&amp;C260)-1)</x:f>
        <x:v>8</x:v>
      </x:c>
      <x:c r="M260" s="113" t="n">
        <x:f>HOUR(C260)</x:f>
        <x:v>9</x:v>
      </x:c>
      <x:c r="N260" s="119" t="n">
        <x:f>ROUND((C260-A260-TIME(8,0,0))*1440,1)</x:f>
        <x:v>68.2</x:v>
      </x:c>
    </x:row>
    <x:row r="261" ht="18" customHeight="1">
      <x:c r="A261" s="101" t="n">
        <x:v>46135</x:v>
      </x:c>
      <x:c r="B261" s="76" t="str">
        <x:v>P0260</x:v>
      </x:c>
      <x:c r="C261" s="107" t="n">
        <x:v>46135.38153890046</x:v>
      </x:c>
      <x:c r="D261" s="107" t="n">
        <x:v>46135.40553978009</x:v>
      </x:c>
      <x:c r="E261" s="107" t="n">
        <x:v>46135.40755366898</x:v>
      </x:c>
      <x:c r="F261" s="76" t="str">
        <x:v>billing_payment</x:v>
      </x:c>
      <x:c r="G261" s="113" t="n">
        <x:f>ROUND((E261-D261)*1440,1)</x:f>
        <x:v>2.9</x:v>
      </x:c>
      <x:c r="H261" s="113" t="n">
        <x:f>ROUND((D261-C261)*1440,1)</x:f>
        <x:v>34.6</x:v>
      </x:c>
      <x:c r="I261" s="113" t="n">
        <x:f>ROUND((E261-C261)*1440,1)</x:f>
        <x:v>37.5</x:v>
      </x:c>
      <x:c r="J261" s="113" t="n">
        <x:f>IF(A261=A260,ROUND((C261-C260)*1440,1),0)</x:f>
        <x:v>1.2</x:v>
      </x:c>
      <x:c r="K261" s="76" t="str">
        <x:v>FrontDesk-01</x:v>
      </x:c>
      <x:c r="L261" s="113" t="n">
        <x:f>MAX(0,COUNTIFS($A$2:$A$401,A261,$C$2:$C$401,"&lt;"&amp;C261,$E$2:$E$401,"&gt;"&amp;C261)-1)</x:f>
        <x:v>8</x:v>
      </x:c>
      <x:c r="M261" s="113" t="n">
        <x:f>HOUR(C261)</x:f>
        <x:v>9</x:v>
      </x:c>
      <x:c r="N261" s="119" t="n">
        <x:f>ROUND((C261-A261-TIME(8,0,0))*1440,1)</x:f>
        <x:v>69.4</x:v>
      </x:c>
    </x:row>
    <x:row r="262" ht="18" customHeight="1">
      <x:c r="A262" s="101" t="n">
        <x:v>46135</x:v>
      </x:c>
      <x:c r="B262" s="76" t="str">
        <x:v>P0261</x:v>
      </x:c>
      <x:c r="C262" s="107" t="n">
        <x:v>46135.38368540509</x:v>
      </x:c>
      <x:c r="D262" s="107" t="n">
        <x:v>46135.40755366898</x:v>
      </x:c>
      <x:c r="E262" s="107" t="n">
        <x:v>46135.411859224536</x:v>
      </x:c>
      <x:c r="F262" s="76" t="str">
        <x:v>sample_submission</x:v>
      </x:c>
      <x:c r="G262" s="113" t="n">
        <x:f>ROUND((E262-D262)*1440,1)</x:f>
        <x:v>6.2</x:v>
      </x:c>
      <x:c r="H262" s="113" t="n">
        <x:f>ROUND((D262-C262)*1440,1)</x:f>
        <x:v>34.4</x:v>
      </x:c>
      <x:c r="I262" s="113" t="n">
        <x:f>ROUND((E262-C262)*1440,1)</x:f>
        <x:v>40.6</x:v>
      </x:c>
      <x:c r="J262" s="113" t="n">
        <x:f>IF(A262=A261,ROUND((C262-C261)*1440,1),0)</x:f>
        <x:v>3.1</x:v>
      </x:c>
      <x:c r="K262" s="76" t="str">
        <x:v>FrontDesk-01</x:v>
      </x:c>
      <x:c r="L262" s="113" t="n">
        <x:f>MAX(0,COUNTIFS($A$2:$A$401,A262,$C$2:$C$401,"&lt;"&amp;C262,$E$2:$E$401,"&gt;"&amp;C262)-1)</x:f>
        <x:v>9</x:v>
      </x:c>
      <x:c r="M262" s="113" t="n">
        <x:f>HOUR(C262)</x:f>
        <x:v>9</x:v>
      </x:c>
      <x:c r="N262" s="119" t="n">
        <x:f>ROUND((C262-A262-TIME(8,0,0))*1440,1)</x:f>
        <x:v>72.5</x:v>
      </x:c>
    </x:row>
    <x:row r="263" ht="18" customHeight="1">
      <x:c r="A263" s="101" t="n">
        <x:v>46135</x:v>
      </x:c>
      <x:c r="B263" s="76" t="str">
        <x:v>P0262</x:v>
      </x:c>
      <x:c r="C263" s="107" t="n">
        <x:v>46135.384727349534</x:v>
      </x:c>
      <x:c r="D263" s="107" t="n">
        <x:v>46135.411859224536</x:v>
      </x:c>
      <x:c r="E263" s="107" t="n">
        <x:v>46135.41560922454</x:v>
      </x:c>
      <x:c r="F263" s="76" t="str">
        <x:v>sample_submission</x:v>
      </x:c>
      <x:c r="G263" s="113" t="n">
        <x:f>ROUND((E263-D263)*1440,1)</x:f>
        <x:v>5.4</x:v>
      </x:c>
      <x:c r="H263" s="113" t="n">
        <x:f>ROUND((D263-C263)*1440,1)</x:f>
        <x:v>39.1</x:v>
      </x:c>
      <x:c r="I263" s="113" t="n">
        <x:f>ROUND((E263-C263)*1440,1)</x:f>
        <x:v>44.5</x:v>
      </x:c>
      <x:c r="J263" s="113" t="n">
        <x:f>IF(A263=A262,ROUND((C263-C262)*1440,1),0)</x:f>
        <x:v>1.5</x:v>
      </x:c>
      <x:c r="K263" s="76" t="str">
        <x:v>FrontDesk-01</x:v>
      </x:c>
      <x:c r="L263" s="113" t="n">
        <x:f>MAX(0,COUNTIFS($A$2:$A$401,A263,$C$2:$C$401,"&lt;"&amp;C263,$E$2:$E$401,"&gt;"&amp;C263)-1)</x:f>
        <x:v>10</x:v>
      </x:c>
      <x:c r="M263" s="113" t="n">
        <x:f>HOUR(C263)</x:f>
        <x:v>9</x:v>
      </x:c>
      <x:c r="N263" s="119" t="n">
        <x:f>ROUND((C263-A263-TIME(8,0,0))*1440,1)</x:f>
        <x:v>74</x:v>
      </x:c>
    </x:row>
    <x:row r="264" ht="18" customHeight="1">
      <x:c r="A264" s="101" t="n">
        <x:v>46135</x:v>
      </x:c>
      <x:c r="B264" s="76" t="str">
        <x:v>P0263</x:v>
      </x:c>
      <x:c r="C264" s="107" t="n">
        <x:v>46135.38491226852</x:v>
      </x:c>
      <x:c r="D264" s="107" t="n">
        <x:v>46135.41560922454</x:v>
      </x:c>
      <x:c r="E264" s="107" t="n">
        <x:v>46135.41755366898</x:v>
      </x:c>
      <x:c r="F264" s="76" t="str">
        <x:v>billing_payment</x:v>
      </x:c>
      <x:c r="G264" s="113" t="n">
        <x:f>ROUND((E264-D264)*1440,1)</x:f>
        <x:v>2.8</x:v>
      </x:c>
      <x:c r="H264" s="113" t="n">
        <x:f>ROUND((D264-C264)*1440,1)</x:f>
        <x:v>44.2</x:v>
      </x:c>
      <x:c r="I264" s="113" t="n">
        <x:f>ROUND((E264-C264)*1440,1)</x:f>
        <x:v>47</x:v>
      </x:c>
      <x:c r="J264" s="113" t="n">
        <x:f>IF(A264=A263,ROUND((C264-C263)*1440,1),0)</x:f>
        <x:v>0.3</x:v>
      </x:c>
      <x:c r="K264" s="76" t="str">
        <x:v>FrontDesk-01</x:v>
      </x:c>
      <x:c r="L264" s="113" t="n">
        <x:f>MAX(0,COUNTIFS($A$2:$A$401,A264,$C$2:$C$401,"&lt;"&amp;C264,$E$2:$E$401,"&gt;"&amp;C264)-1)</x:f>
        <x:v>11</x:v>
      </x:c>
      <x:c r="M264" s="113" t="n">
        <x:f>HOUR(C264)</x:f>
        <x:v>9</x:v>
      </x:c>
      <x:c r="N264" s="119" t="n">
        <x:f>ROUND((C264-A264-TIME(8,0,0))*1440,1)</x:f>
        <x:v>74.3</x:v>
      </x:c>
    </x:row>
    <x:row r="265" ht="18" customHeight="1">
      <x:c r="A265" s="101" t="n">
        <x:v>46135</x:v>
      </x:c>
      <x:c r="B265" s="76" t="str">
        <x:v>P0264</x:v>
      </x:c>
      <x:c r="C265" s="107" t="n">
        <x:v>46135.38858784722</x:v>
      </x:c>
      <x:c r="D265" s="107" t="n">
        <x:v>46135.41755366898</x:v>
      </x:c>
      <x:c r="E265" s="107" t="n">
        <x:v>46135.41845644676</x:v>
      </x:c>
      <x:c r="F265" s="76" t="str">
        <x:v>report_collection</x:v>
      </x:c>
      <x:c r="G265" s="113" t="n">
        <x:f>ROUND((E265-D265)*1440,1)</x:f>
        <x:v>1.3</x:v>
      </x:c>
      <x:c r="H265" s="113" t="n">
        <x:f>ROUND((D265-C265)*1440,1)</x:f>
        <x:v>41.7</x:v>
      </x:c>
      <x:c r="I265" s="113" t="n">
        <x:f>ROUND((E265-C265)*1440,1)</x:f>
        <x:v>43</x:v>
      </x:c>
      <x:c r="J265" s="113" t="n">
        <x:f>IF(A265=A264,ROUND((C265-C264)*1440,1),0)</x:f>
        <x:v>5.3</x:v>
      </x:c>
      <x:c r="K265" s="76" t="str">
        <x:v>FrontDesk-01</x:v>
      </x:c>
      <x:c r="L265" s="113" t="n">
        <x:f>MAX(0,COUNTIFS($A$2:$A$401,A265,$C$2:$C$401,"&lt;"&amp;C265,$E$2:$E$401,"&gt;"&amp;C265)-1)</x:f>
        <x:v>11</x:v>
      </x:c>
      <x:c r="M265" s="113" t="n">
        <x:f>HOUR(C265)</x:f>
        <x:v>9</x:v>
      </x:c>
      <x:c r="N265" s="119" t="n">
        <x:f>ROUND((C265-A265-TIME(8,0,0))*1440,1)</x:f>
        <x:v>79.6</x:v>
      </x:c>
    </x:row>
    <x:row r="266" ht="18" customHeight="1">
      <x:c r="A266" s="101" t="n">
        <x:v>46135</x:v>
      </x:c>
      <x:c r="B266" s="76" t="str">
        <x:v>P0265</x:v>
      </x:c>
      <x:c r="C266" s="107" t="n">
        <x:v>46135.394036666665</x:v>
      </x:c>
      <x:c r="D266" s="107" t="n">
        <x:v>46135.41845644676</x:v>
      </x:c>
      <x:c r="E266" s="107" t="n">
        <x:v>46135.419150891204</x:v>
      </x:c>
      <x:c r="F266" s="76" t="str">
        <x:v>report_collection</x:v>
      </x:c>
      <x:c r="G266" s="113" t="n">
        <x:f>ROUND((E266-D266)*1440,1)</x:f>
        <x:v>1</x:v>
      </x:c>
      <x:c r="H266" s="113" t="n">
        <x:f>ROUND((D266-C266)*1440,1)</x:f>
        <x:v>35.2</x:v>
      </x:c>
      <x:c r="I266" s="113" t="n">
        <x:f>ROUND((E266-C266)*1440,1)</x:f>
        <x:v>36.2</x:v>
      </x:c>
      <x:c r="J266" s="113" t="n">
        <x:f>IF(A266=A265,ROUND((C266-C265)*1440,1),0)</x:f>
        <x:v>7.8</x:v>
      </x:c>
      <x:c r="K266" s="76" t="str">
        <x:v>FrontDesk-01</x:v>
      </x:c>
      <x:c r="L266" s="113" t="n">
        <x:f>MAX(0,COUNTIFS($A$2:$A$401,A266,$C$2:$C$401,"&lt;"&amp;C266,$E$2:$E$401,"&gt;"&amp;C266)-1)</x:f>
        <x:v>9</x:v>
      </x:c>
      <x:c r="M266" s="113" t="n">
        <x:f>HOUR(C266)</x:f>
        <x:v>9</x:v>
      </x:c>
      <x:c r="N266" s="119" t="n">
        <x:f>ROUND((C266-A266-TIME(8,0,0))*1440,1)</x:f>
        <x:v>87.4</x:v>
      </x:c>
    </x:row>
    <x:row r="267" ht="18" customHeight="1">
      <x:c r="A267" s="101" t="n">
        <x:v>46135</x:v>
      </x:c>
      <x:c r="B267" s="76" t="str">
        <x:v>P0266</x:v>
      </x:c>
      <x:c r="C267" s="107" t="n">
        <x:v>46135.39544476852</x:v>
      </x:c>
      <x:c r="D267" s="107" t="n">
        <x:v>46135.419150891204</x:v>
      </x:c>
      <x:c r="E267" s="107" t="n">
        <x:v>46135.422345335646</x:v>
      </x:c>
      <x:c r="F267" s="76" t="str">
        <x:v>registration</x:v>
      </x:c>
      <x:c r="G267" s="113" t="n">
        <x:f>ROUND((E267-D267)*1440,1)</x:f>
        <x:v>4.6</x:v>
      </x:c>
      <x:c r="H267" s="113" t="n">
        <x:f>ROUND((D267-C267)*1440,1)</x:f>
        <x:v>34.1</x:v>
      </x:c>
      <x:c r="I267" s="113" t="n">
        <x:f>ROUND((E267-C267)*1440,1)</x:f>
        <x:v>38.7</x:v>
      </x:c>
      <x:c r="J267" s="113" t="n">
        <x:f>IF(A267=A266,ROUND((C267-C266)*1440,1),0)</x:f>
        <x:v>2</x:v>
      </x:c>
      <x:c r="K267" s="76" t="str">
        <x:v>FrontDesk-01</x:v>
      </x:c>
      <x:c r="L267" s="113" t="n">
        <x:f>MAX(0,COUNTIFS($A$2:$A$401,A267,$C$2:$C$401,"&lt;"&amp;C267,$E$2:$E$401,"&gt;"&amp;C267)-1)</x:f>
        <x:v>10</x:v>
      </x:c>
      <x:c r="M267" s="113" t="n">
        <x:f>HOUR(C267)</x:f>
        <x:v>9</x:v>
      </x:c>
      <x:c r="N267" s="119" t="n">
        <x:f>ROUND((C267-A267-TIME(8,0,0))*1440,1)</x:f>
        <x:v>89.4</x:v>
      </x:c>
    </x:row>
    <x:row r="268" ht="18" customHeight="1">
      <x:c r="A268" s="101" t="n">
        <x:v>46135</x:v>
      </x:c>
      <x:c r="B268" s="76" t="str">
        <x:v>P0267</x:v>
      </x:c>
      <x:c r="C268" s="107" t="n">
        <x:v>46135.39546570602</x:v>
      </x:c>
      <x:c r="D268" s="107" t="n">
        <x:v>46135.422345335646</x:v>
      </x:c>
      <x:c r="E268" s="107" t="n">
        <x:v>46135.423873113425</x:v>
      </x:c>
      <x:c r="F268" s="76" t="str">
        <x:v>inquiry</x:v>
      </x:c>
      <x:c r="G268" s="113" t="n">
        <x:f>ROUND((E268-D268)*1440,1)</x:f>
        <x:v>2.2</x:v>
      </x:c>
      <x:c r="H268" s="113" t="n">
        <x:f>ROUND((D268-C268)*1440,1)</x:f>
        <x:v>38.7</x:v>
      </x:c>
      <x:c r="I268" s="113" t="n">
        <x:f>ROUND((E268-C268)*1440,1)</x:f>
        <x:v>40.9</x:v>
      </x:c>
      <x:c r="J268" s="113" t="n">
        <x:f>IF(A268=A267,ROUND((C268-C267)*1440,1),0)</x:f>
        <x:v>0</x:v>
      </x:c>
      <x:c r="K268" s="76" t="str">
        <x:v>FrontDesk-01</x:v>
      </x:c>
      <x:c r="L268" s="113" t="n">
        <x:f>MAX(0,COUNTIFS($A$2:$A$401,A268,$C$2:$C$401,"&lt;"&amp;C268,$E$2:$E$401,"&gt;"&amp;C268)-1)</x:f>
        <x:v>11</x:v>
      </x:c>
      <x:c r="M268" s="113" t="n">
        <x:f>HOUR(C268)</x:f>
        <x:v>9</x:v>
      </x:c>
      <x:c r="N268" s="119" t="n">
        <x:f>ROUND((C268-A268-TIME(8,0,0))*1440,1)</x:f>
        <x:v>89.5</x:v>
      </x:c>
    </x:row>
    <x:row r="269" ht="18" customHeight="1">
      <x:c r="A269" s="101" t="n">
        <x:v>46135</x:v>
      </x:c>
      <x:c r="B269" s="76" t="str">
        <x:v>P0268</x:v>
      </x:c>
      <x:c r="C269" s="107" t="n">
        <x:v>46135.40050631944</x:v>
      </x:c>
      <x:c r="D269" s="107" t="n">
        <x:v>46135.423873113425</x:v>
      </x:c>
      <x:c r="E269" s="107" t="n">
        <x:v>46135.42817866898</x:v>
      </x:c>
      <x:c r="F269" s="76" t="str">
        <x:v>registration</x:v>
      </x:c>
      <x:c r="G269" s="113" t="n">
        <x:f>ROUND((E269-D269)*1440,1)</x:f>
        <x:v>6.2</x:v>
      </x:c>
      <x:c r="H269" s="113" t="n">
        <x:f>ROUND((D269-C269)*1440,1)</x:f>
        <x:v>33.6</x:v>
      </x:c>
      <x:c r="I269" s="113" t="n">
        <x:f>ROUND((E269-C269)*1440,1)</x:f>
        <x:v>39.8</x:v>
      </x:c>
      <x:c r="J269" s="113" t="n">
        <x:f>IF(A269=A268,ROUND((C269-C268)*1440,1),0)</x:f>
        <x:v>7.3</x:v>
      </x:c>
      <x:c r="K269" s="76" t="str">
        <x:v>FrontDesk-01</x:v>
      </x:c>
      <x:c r="L269" s="113" t="n">
        <x:f>MAX(0,COUNTIFS($A$2:$A$401,A269,$C$2:$C$401,"&lt;"&amp;C269,$E$2:$E$401,"&gt;"&amp;C269)-1)</x:f>
        <x:v>9</x:v>
      </x:c>
      <x:c r="M269" s="113" t="n">
        <x:f>HOUR(C269)</x:f>
        <x:v>9</x:v>
      </x:c>
      <x:c r="N269" s="119" t="n">
        <x:f>ROUND((C269-A269-TIME(8,0,0))*1440,1)</x:f>
        <x:v>96.7</x:v>
      </x:c>
    </x:row>
    <x:row r="270" ht="18" customHeight="1">
      <x:c r="A270" s="101" t="n">
        <x:v>46135</x:v>
      </x:c>
      <x:c r="B270" s="76" t="str">
        <x:v>P0269</x:v>
      </x:c>
      <x:c r="C270" s="107" t="n">
        <x:v>46135.40220329861</x:v>
      </x:c>
      <x:c r="D270" s="107" t="n">
        <x:v>46135.42817866898</x:v>
      </x:c>
      <x:c r="E270" s="107" t="n">
        <x:v>46135.4316508912</x:v>
      </x:c>
      <x:c r="F270" s="76" t="str">
        <x:v>registration</x:v>
      </x:c>
      <x:c r="G270" s="113" t="n">
        <x:f>ROUND((E270-D270)*1440,1)</x:f>
        <x:v>5</x:v>
      </x:c>
      <x:c r="H270" s="113" t="n">
        <x:f>ROUND((D270-C270)*1440,1)</x:f>
        <x:v>37.4</x:v>
      </x:c>
      <x:c r="I270" s="113" t="n">
        <x:f>ROUND((E270-C270)*1440,1)</x:f>
        <x:v>42.4</x:v>
      </x:c>
      <x:c r="J270" s="113" t="n">
        <x:f>IF(A270=A269,ROUND((C270-C269)*1440,1),0)</x:f>
        <x:v>2.4</x:v>
      </x:c>
      <x:c r="K270" s="76" t="str">
        <x:v>FrontDesk-01</x:v>
      </x:c>
      <x:c r="L270" s="113" t="n">
        <x:f>MAX(0,COUNTIFS($A$2:$A$401,A270,$C$2:$C$401,"&lt;"&amp;C270,$E$2:$E$401,"&gt;"&amp;C270)-1)</x:f>
        <x:v>10</x:v>
      </x:c>
      <x:c r="M270" s="113" t="n">
        <x:f>HOUR(C270)</x:f>
        <x:v>9</x:v>
      </x:c>
      <x:c r="N270" s="119" t="n">
        <x:f>ROUND((C270-A270-TIME(8,0,0))*1440,1)</x:f>
        <x:v>99.2</x:v>
      </x:c>
    </x:row>
    <x:row r="271" ht="18" customHeight="1">
      <x:c r="A271" s="101" t="n">
        <x:v>46135</x:v>
      </x:c>
      <x:c r="B271" s="76" t="str">
        <x:v>P0270</x:v>
      </x:c>
      <x:c r="C271" s="107" t="n">
        <x:v>46135.42094563657</x:v>
      </x:c>
      <x:c r="D271" s="107" t="n">
        <x:v>46135.4316508912</x:v>
      </x:c>
      <x:c r="E271" s="107" t="n">
        <x:v>46135.43533144676</x:v>
      </x:c>
      <x:c r="F271" s="76" t="str">
        <x:v>registration</x:v>
      </x:c>
      <x:c r="G271" s="113" t="n">
        <x:f>ROUND((E271-D271)*1440,1)</x:f>
        <x:v>5.3</x:v>
      </x:c>
      <x:c r="H271" s="113" t="n">
        <x:f>ROUND((D271-C271)*1440,1)</x:f>
        <x:v>15.4</x:v>
      </x:c>
      <x:c r="I271" s="113" t="n">
        <x:f>ROUND((E271-C271)*1440,1)</x:f>
        <x:v>20.7</x:v>
      </x:c>
      <x:c r="J271" s="113" t="n">
        <x:f>IF(A271=A270,ROUND((C271-C270)*1440,1),0)</x:f>
        <x:v>27</x:v>
      </x:c>
      <x:c r="K271" s="76" t="str">
        <x:v>FrontDesk-01</x:v>
      </x:c>
      <x:c r="L271" s="113" t="n">
        <x:f>MAX(0,COUNTIFS($A$2:$A$401,A271,$C$2:$C$401,"&lt;"&amp;C271,$E$2:$E$401,"&gt;"&amp;C271)-1)</x:f>
        <x:v>3</x:v>
      </x:c>
      <x:c r="M271" s="113" t="n">
        <x:f>HOUR(C271)</x:f>
        <x:v>10</x:v>
      </x:c>
      <x:c r="N271" s="119" t="n">
        <x:f>ROUND((C271-A271-TIME(8,0,0))*1440,1)</x:f>
        <x:v>126.2</x:v>
      </x:c>
    </x:row>
    <x:row r="272" ht="18" customHeight="1">
      <x:c r="A272" s="101" t="n">
        <x:v>46135</x:v>
      </x:c>
      <x:c r="B272" s="76" t="str">
        <x:v>P0271</x:v>
      </x:c>
      <x:c r="C272" s="107" t="n">
        <x:v>46135.42545872685</x:v>
      </x:c>
      <x:c r="D272" s="107" t="n">
        <x:v>46135.43533144676</x:v>
      </x:c>
      <x:c r="E272" s="107" t="n">
        <x:v>46135.436650891206</x:v>
      </x:c>
      <x:c r="F272" s="76" t="str">
        <x:v>report_collection</x:v>
      </x:c>
      <x:c r="G272" s="113" t="n">
        <x:f>ROUND((E272-D272)*1440,1)</x:f>
        <x:v>1.9</x:v>
      </x:c>
      <x:c r="H272" s="113" t="n">
        <x:f>ROUND((D272-C272)*1440,1)</x:f>
        <x:v>14.2</x:v>
      </x:c>
      <x:c r="I272" s="113" t="n">
        <x:f>ROUND((E272-C272)*1440,1)</x:f>
        <x:v>16.1</x:v>
      </x:c>
      <x:c r="J272" s="113" t="n">
        <x:f>IF(A272=A271,ROUND((C272-C271)*1440,1),0)</x:f>
        <x:v>6.5</x:v>
      </x:c>
      <x:c r="K272" s="76" t="str">
        <x:v>FrontDesk-01</x:v>
      </x:c>
      <x:c r="L272" s="113" t="n">
        <x:f>MAX(0,COUNTIFS($A$2:$A$401,A272,$C$2:$C$401,"&lt;"&amp;C272,$E$2:$E$401,"&gt;"&amp;C272)-1)</x:f>
        <x:v>2</x:v>
      </x:c>
      <x:c r="M272" s="113" t="n">
        <x:f>HOUR(C272)</x:f>
        <x:v>10</x:v>
      </x:c>
      <x:c r="N272" s="119" t="n">
        <x:f>ROUND((C272-A272-TIME(8,0,0))*1440,1)</x:f>
        <x:v>132.7</x:v>
      </x:c>
    </x:row>
    <x:row r="273" ht="18" customHeight="1">
      <x:c r="A273" s="101" t="n">
        <x:v>46135</x:v>
      </x:c>
      <x:c r="B273" s="76" t="str">
        <x:v>P0272</x:v>
      </x:c>
      <x:c r="C273" s="107" t="n">
        <x:v>46135.42646534722</x:v>
      </x:c>
      <x:c r="D273" s="107" t="n">
        <x:v>46135.436650891206</x:v>
      </x:c>
      <x:c r="E273" s="107" t="n">
        <x:v>46135.43942866898</x:v>
      </x:c>
      <x:c r="F273" s="76" t="str">
        <x:v>registration</x:v>
      </x:c>
      <x:c r="G273" s="113" t="n">
        <x:f>ROUND((E273-D273)*1440,1)</x:f>
        <x:v>4</x:v>
      </x:c>
      <x:c r="H273" s="113" t="n">
        <x:f>ROUND((D273-C273)*1440,1)</x:f>
        <x:v>14.7</x:v>
      </x:c>
      <x:c r="I273" s="113" t="n">
        <x:f>ROUND((E273-C273)*1440,1)</x:f>
        <x:v>18.7</x:v>
      </x:c>
      <x:c r="J273" s="113" t="n">
        <x:f>IF(A273=A272,ROUND((C273-C272)*1440,1),0)</x:f>
        <x:v>1.4</x:v>
      </x:c>
      <x:c r="K273" s="76" t="str">
        <x:v>FrontDesk-01</x:v>
      </x:c>
      <x:c r="L273" s="113" t="n">
        <x:f>MAX(0,COUNTIFS($A$2:$A$401,A273,$C$2:$C$401,"&lt;"&amp;C273,$E$2:$E$401,"&gt;"&amp;C273)-1)</x:f>
        <x:v>3</x:v>
      </x:c>
      <x:c r="M273" s="113" t="n">
        <x:f>HOUR(C273)</x:f>
        <x:v>10</x:v>
      </x:c>
      <x:c r="N273" s="119" t="n">
        <x:f>ROUND((C273-A273-TIME(8,0,0))*1440,1)</x:f>
        <x:v>134.1</x:v>
      </x:c>
    </x:row>
    <x:row r="274" ht="18" customHeight="1">
      <x:c r="A274" s="101" t="n">
        <x:v>46135</x:v>
      </x:c>
      <x:c r="B274" s="76" t="str">
        <x:v>P0273</x:v>
      </x:c>
      <x:c r="C274" s="107" t="n">
        <x:v>46135.438174027775</x:v>
      </x:c>
      <x:c r="D274" s="107" t="n">
        <x:v>46135.43942866898</x:v>
      </x:c>
      <x:c r="E274" s="107" t="n">
        <x:v>46135.44060922453</x:v>
      </x:c>
      <x:c r="F274" s="76" t="str">
        <x:v>report_collection</x:v>
      </x:c>
      <x:c r="G274" s="113" t="n">
        <x:f>ROUND((E274-D274)*1440,1)</x:f>
        <x:v>1.7</x:v>
      </x:c>
      <x:c r="H274" s="113" t="n">
        <x:f>ROUND((D274-C274)*1440,1)</x:f>
        <x:v>1.8</x:v>
      </x:c>
      <x:c r="I274" s="113" t="n">
        <x:f>ROUND((E274-C274)*1440,1)</x:f>
        <x:v>3.5</x:v>
      </x:c>
      <x:c r="J274" s="113" t="n">
        <x:f>IF(A274=A273,ROUND((C274-C273)*1440,1),0)</x:f>
        <x:v>16.9</x:v>
      </x:c>
      <x:c r="K274" s="76" t="str">
        <x:v>FrontDesk-01</x:v>
      </x:c>
      <x:c r="L274" s="113" t="n">
        <x:f>MAX(0,COUNTIFS($A$2:$A$401,A274,$C$2:$C$401,"&lt;"&amp;C274,$E$2:$E$401,"&gt;"&amp;C274)-1)</x:f>
        <x:v>0</x:v>
      </x:c>
      <x:c r="M274" s="113" t="n">
        <x:f>HOUR(C274)</x:f>
        <x:v>10</x:v>
      </x:c>
      <x:c r="N274" s="119" t="n">
        <x:f>ROUND((C274-A274-TIME(8,0,0))*1440,1)</x:f>
        <x:v>151</x:v>
      </x:c>
    </x:row>
    <x:row r="275" ht="18" customHeight="1">
      <x:c r="A275" s="101" t="n">
        <x:v>46135</x:v>
      </x:c>
      <x:c r="B275" s="76" t="str">
        <x:v>P0274</x:v>
      </x:c>
      <x:c r="C275" s="107" t="n">
        <x:v>46135.44065380787</x:v>
      </x:c>
      <x:c r="D275" s="107" t="n">
        <x:v>46135.44065380787</x:v>
      </x:c>
      <x:c r="E275" s="107" t="n">
        <x:v>46135.441834363424</x:v>
      </x:c>
      <x:c r="F275" s="76" t="str">
        <x:v>inquiry</x:v>
      </x:c>
      <x:c r="G275" s="113" t="n">
        <x:f>ROUND((E275-D275)*1440,1)</x:f>
        <x:v>1.7</x:v>
      </x:c>
      <x:c r="H275" s="113" t="n">
        <x:f>ROUND((D275-C275)*1440,1)</x:f>
        <x:v>0</x:v>
      </x:c>
      <x:c r="I275" s="113" t="n">
        <x:f>ROUND((E275-C275)*1440,1)</x:f>
        <x:v>1.7</x:v>
      </x:c>
      <x:c r="J275" s="113" t="n">
        <x:f>IF(A275=A274,ROUND((C275-C274)*1440,1),0)</x:f>
        <x:v>3.6</x:v>
      </x:c>
      <x:c r="K275" s="76" t="str">
        <x:v>FrontDesk-01</x:v>
      </x:c>
      <x:c r="L275" s="113" t="n">
        <x:f>MAX(0,COUNTIFS($A$2:$A$401,A275,$C$2:$C$401,"&lt;"&amp;C275,$E$2:$E$401,"&gt;"&amp;C275)-1)</x:f>
        <x:v>0</x:v>
      </x:c>
      <x:c r="M275" s="113" t="n">
        <x:f>HOUR(C275)</x:f>
        <x:v>10</x:v>
      </x:c>
      <x:c r="N275" s="119" t="n">
        <x:f>ROUND((C275-A275-TIME(8,0,0))*1440,1)</x:f>
        <x:v>154.5</x:v>
      </x:c>
    </x:row>
    <x:row r="276" ht="18" customHeight="1">
      <x:c r="A276" s="101" t="n">
        <x:v>46135</x:v>
      </x:c>
      <x:c r="B276" s="76" t="str">
        <x:v>P0275</x:v>
      </x:c>
      <x:c r="C276" s="107" t="n">
        <x:v>46135.44161362269</x:v>
      </x:c>
      <x:c r="D276" s="107" t="n">
        <x:v>46135.441834363424</x:v>
      </x:c>
      <x:c r="E276" s="107" t="n">
        <x:v>46135.4433621412</x:v>
      </x:c>
      <x:c r="F276" s="76" t="str">
        <x:v>inquiry</x:v>
      </x:c>
      <x:c r="G276" s="113" t="n">
        <x:f>ROUND((E276-D276)*1440,1)</x:f>
        <x:v>2.2</x:v>
      </x:c>
      <x:c r="H276" s="113" t="n">
        <x:f>ROUND((D276-C276)*1440,1)</x:f>
        <x:v>0.3</x:v>
      </x:c>
      <x:c r="I276" s="113" t="n">
        <x:f>ROUND((E276-C276)*1440,1)</x:f>
        <x:v>2.5</x:v>
      </x:c>
      <x:c r="J276" s="113" t="n">
        <x:f>IF(A276=A275,ROUND((C276-C275)*1440,1),0)</x:f>
        <x:v>1.4</x:v>
      </x:c>
      <x:c r="K276" s="76" t="str">
        <x:v>FrontDesk-01</x:v>
      </x:c>
      <x:c r="L276" s="113" t="n">
        <x:f>MAX(0,COUNTIFS($A$2:$A$401,A276,$C$2:$C$401,"&lt;"&amp;C276,$E$2:$E$401,"&gt;"&amp;C276)-1)</x:f>
        <x:v>0</x:v>
      </x:c>
      <x:c r="M276" s="113" t="n">
        <x:f>HOUR(C276)</x:f>
        <x:v>10</x:v>
      </x:c>
      <x:c r="N276" s="119" t="n">
        <x:f>ROUND((C276-A276-TIME(8,0,0))*1440,1)</x:f>
        <x:v>155.9</x:v>
      </x:c>
    </x:row>
    <x:row r="277" ht="18" customHeight="1">
      <x:c r="A277" s="101" t="n">
        <x:v>46135</x:v>
      </x:c>
      <x:c r="B277" s="76" t="str">
        <x:v>P0276</x:v>
      </x:c>
      <x:c r="C277" s="107" t="n">
        <x:v>46135.44178627315</x:v>
      </x:c>
      <x:c r="D277" s="107" t="n">
        <x:v>46135.4433621412</x:v>
      </x:c>
      <x:c r="E277" s="107" t="n">
        <x:v>46135.44870936342</x:v>
      </x:c>
      <x:c r="F277" s="76" t="str">
        <x:v>sample_submission</x:v>
      </x:c>
      <x:c r="G277" s="113" t="n">
        <x:f>ROUND((E277-D277)*1440,1)</x:f>
        <x:v>7.7</x:v>
      </x:c>
      <x:c r="H277" s="113" t="n">
        <x:f>ROUND((D277-C277)*1440,1)</x:f>
        <x:v>2.3</x:v>
      </x:c>
      <x:c r="I277" s="113" t="n">
        <x:f>ROUND((E277-C277)*1440,1)</x:f>
        <x:v>10</x:v>
      </x:c>
      <x:c r="J277" s="113" t="n">
        <x:f>IF(A277=A276,ROUND((C277-C276)*1440,1),0)</x:f>
        <x:v>0.2</x:v>
      </x:c>
      <x:c r="K277" s="76" t="str">
        <x:v>FrontDesk-01</x:v>
      </x:c>
      <x:c r="L277" s="113" t="n">
        <x:f>MAX(0,COUNTIFS($A$2:$A$401,A277,$C$2:$C$401,"&lt;"&amp;C277,$E$2:$E$401,"&gt;"&amp;C277)-1)</x:f>
        <x:v>1</x:v>
      </x:c>
      <x:c r="M277" s="113" t="n">
        <x:f>HOUR(C277)</x:f>
        <x:v>10</x:v>
      </x:c>
      <x:c r="N277" s="119" t="n">
        <x:f>ROUND((C277-A277-TIME(8,0,0))*1440,1)</x:f>
        <x:v>156.2</x:v>
      </x:c>
    </x:row>
    <x:row r="278" ht="18" customHeight="1">
      <x:c r="A278" s="101" t="n">
        <x:v>46135</x:v>
      </x:c>
      <x:c r="B278" s="76" t="str">
        <x:v>P0277</x:v>
      </x:c>
      <x:c r="C278" s="107" t="n">
        <x:v>46135.443768460646</x:v>
      </x:c>
      <x:c r="D278" s="107" t="n">
        <x:v>46135.44870936342</x:v>
      </x:c>
      <x:c r="E278" s="107" t="n">
        <x:v>46135.4514871412</x:v>
      </x:c>
      <x:c r="F278" s="76" t="str">
        <x:v>registration</x:v>
      </x:c>
      <x:c r="G278" s="113" t="n">
        <x:f>ROUND((E278-D278)*1440,1)</x:f>
        <x:v>4</x:v>
      </x:c>
      <x:c r="H278" s="113" t="n">
        <x:f>ROUND((D278-C278)*1440,1)</x:f>
        <x:v>7.1</x:v>
      </x:c>
      <x:c r="I278" s="113" t="n">
        <x:f>ROUND((E278-C278)*1440,1)</x:f>
        <x:v>11.1</x:v>
      </x:c>
      <x:c r="J278" s="113" t="n">
        <x:f>IF(A278=A277,ROUND((C278-C277)*1440,1),0)</x:f>
        <x:v>2.9</x:v>
      </x:c>
      <x:c r="K278" s="76" t="str">
        <x:v>FrontDesk-01</x:v>
      </x:c>
      <x:c r="L278" s="113" t="n">
        <x:f>MAX(0,COUNTIFS($A$2:$A$401,A278,$C$2:$C$401,"&lt;"&amp;C278,$E$2:$E$401,"&gt;"&amp;C278)-1)</x:f>
        <x:v>0</x:v>
      </x:c>
      <x:c r="M278" s="113" t="n">
        <x:f>HOUR(C278)</x:f>
        <x:v>10</x:v>
      </x:c>
      <x:c r="N278" s="119" t="n">
        <x:f>ROUND((C278-A278-TIME(8,0,0))*1440,1)</x:f>
        <x:v>159</x:v>
      </x:c>
    </x:row>
    <x:row r="279" ht="18" customHeight="1">
      <x:c r="A279" s="101" t="n">
        <x:v>46135</x:v>
      </x:c>
      <x:c r="B279" s="76" t="str">
        <x:v>P0278</x:v>
      </x:c>
      <x:c r="C279" s="107" t="n">
        <x:v>46135.444838564814</x:v>
      </x:c>
      <x:c r="D279" s="107" t="n">
        <x:v>46135.4514871412</x:v>
      </x:c>
      <x:c r="E279" s="107" t="n">
        <x:v>46135.453362141205</x:v>
      </x:c>
      <x:c r="F279" s="76" t="str">
        <x:v>report_collection</x:v>
      </x:c>
      <x:c r="G279" s="113" t="n">
        <x:f>ROUND((E279-D279)*1440,1)</x:f>
        <x:v>2.7</x:v>
      </x:c>
      <x:c r="H279" s="113" t="n">
        <x:f>ROUND((D279-C279)*1440,1)</x:f>
        <x:v>9.6</x:v>
      </x:c>
      <x:c r="I279" s="113" t="n">
        <x:f>ROUND((E279-C279)*1440,1)</x:f>
        <x:v>12.3</x:v>
      </x:c>
      <x:c r="J279" s="113" t="n">
        <x:f>IF(A279=A278,ROUND((C279-C278)*1440,1),0)</x:f>
        <x:v>1.5</x:v>
      </x:c>
      <x:c r="K279" s="76" t="str">
        <x:v>FrontDesk-01</x:v>
      </x:c>
      <x:c r="L279" s="113" t="n">
        <x:f>MAX(0,COUNTIFS($A$2:$A$401,A279,$C$2:$C$401,"&lt;"&amp;C279,$E$2:$E$401,"&gt;"&amp;C279)-1)</x:f>
        <x:v>1</x:v>
      </x:c>
      <x:c r="M279" s="113" t="n">
        <x:f>HOUR(C279)</x:f>
        <x:v>10</x:v>
      </x:c>
      <x:c r="N279" s="119" t="n">
        <x:f>ROUND((C279-A279-TIME(8,0,0))*1440,1)</x:f>
        <x:v>160.6</x:v>
      </x:c>
    </x:row>
    <x:row r="280" ht="18" customHeight="1">
      <x:c r="A280" s="101" t="n">
        <x:v>46135</x:v>
      </x:c>
      <x:c r="B280" s="76" t="str">
        <x:v>P0279</x:v>
      </x:c>
      <x:c r="C280" s="107" t="n">
        <x:v>46135.44644386574</x:v>
      </x:c>
      <x:c r="D280" s="107" t="n">
        <x:v>46135.453362141205</x:v>
      </x:c>
      <x:c r="E280" s="107" t="n">
        <x:v>46135.45732047454</x:v>
      </x:c>
      <x:c r="F280" s="76" t="str">
        <x:v>registration</x:v>
      </x:c>
      <x:c r="G280" s="113" t="n">
        <x:f>ROUND((E280-D280)*1440,1)</x:f>
        <x:v>5.7</x:v>
      </x:c>
      <x:c r="H280" s="113" t="n">
        <x:f>ROUND((D280-C280)*1440,1)</x:f>
        <x:v>10</x:v>
      </x:c>
      <x:c r="I280" s="113" t="n">
        <x:f>ROUND((E280-C280)*1440,1)</x:f>
        <x:v>15.7</x:v>
      </x:c>
      <x:c r="J280" s="113" t="n">
        <x:f>IF(A280=A279,ROUND((C280-C279)*1440,1),0)</x:f>
        <x:v>2.3</x:v>
      </x:c>
      <x:c r="K280" s="76" t="str">
        <x:v>FrontDesk-01</x:v>
      </x:c>
      <x:c r="L280" s="113" t="n">
        <x:f>MAX(0,COUNTIFS($A$2:$A$401,A280,$C$2:$C$401,"&lt;"&amp;C280,$E$2:$E$401,"&gt;"&amp;C280)-1)</x:f>
        <x:v>2</x:v>
      </x:c>
      <x:c r="M280" s="113" t="n">
        <x:f>HOUR(C280)</x:f>
        <x:v>10</x:v>
      </x:c>
      <x:c r="N280" s="119" t="n">
        <x:f>ROUND((C280-A280-TIME(8,0,0))*1440,1)</x:f>
        <x:v>162.9</x:v>
      </x:c>
    </x:row>
    <x:row r="281" ht="18" customHeight="1">
      <x:c r="A281" s="101" t="n">
        <x:v>46135</x:v>
      </x:c>
      <x:c r="B281" s="76" t="str">
        <x:v>P0280</x:v>
      </x:c>
      <x:c r="C281" s="107" t="n">
        <x:v>46135.45243895833</x:v>
      </x:c>
      <x:c r="D281" s="107" t="n">
        <x:v>46135.45732047454</x:v>
      </x:c>
      <x:c r="E281" s="107" t="n">
        <x:v>46135.45857047454</x:v>
      </x:c>
      <x:c r="F281" s="76" t="str">
        <x:v>report_collection</x:v>
      </x:c>
      <x:c r="G281" s="113" t="n">
        <x:f>ROUND((E281-D281)*1440,1)</x:f>
        <x:v>1.8</x:v>
      </x:c>
      <x:c r="H281" s="113" t="n">
        <x:f>ROUND((D281-C281)*1440,1)</x:f>
        <x:v>7</x:v>
      </x:c>
      <x:c r="I281" s="113" t="n">
        <x:f>ROUND((E281-C281)*1440,1)</x:f>
        <x:v>8.8</x:v>
      </x:c>
      <x:c r="J281" s="113" t="n">
        <x:f>IF(A281=A280,ROUND((C281-C280)*1440,1),0)</x:f>
        <x:v>8.6</x:v>
      </x:c>
      <x:c r="K281" s="76" t="str">
        <x:v>FrontDesk-01</x:v>
      </x:c>
      <x:c r="L281" s="113" t="n">
        <x:f>MAX(0,COUNTIFS($A$2:$A$401,A281,$C$2:$C$401,"&lt;"&amp;C281,$E$2:$E$401,"&gt;"&amp;C281)-1)</x:f>
        <x:v>1</x:v>
      </x:c>
      <x:c r="M281" s="113" t="n">
        <x:f>HOUR(C281)</x:f>
        <x:v>10</x:v>
      </x:c>
      <x:c r="N281" s="119" t="n">
        <x:f>ROUND((C281-A281-TIME(8,0,0))*1440,1)</x:f>
        <x:v>171.5</x:v>
      </x:c>
    </x:row>
    <x:row r="282" ht="18" customHeight="1">
      <x:c r="A282" s="101" t="n">
        <x:v>46135</x:v>
      </x:c>
      <x:c r="B282" s="76" t="str">
        <x:v>P0281</x:v>
      </x:c>
      <x:c r="C282" s="107" t="n">
        <x:v>46135.4563397338</x:v>
      </x:c>
      <x:c r="D282" s="107" t="n">
        <x:v>46135.45857047454</x:v>
      </x:c>
      <x:c r="E282" s="107" t="n">
        <x:v>46135.462598252314</x:v>
      </x:c>
      <x:c r="F282" s="76" t="str">
        <x:v>sample_submission</x:v>
      </x:c>
      <x:c r="G282" s="113" t="n">
        <x:f>ROUND((E282-D282)*1440,1)</x:f>
        <x:v>5.8</x:v>
      </x:c>
      <x:c r="H282" s="113" t="n">
        <x:f>ROUND((D282-C282)*1440,1)</x:f>
        <x:v>3.2</x:v>
      </x:c>
      <x:c r="I282" s="113" t="n">
        <x:f>ROUND((E282-C282)*1440,1)</x:f>
        <x:v>9</x:v>
      </x:c>
      <x:c r="J282" s="113" t="n">
        <x:f>IF(A282=A281,ROUND((C282-C281)*1440,1),0)</x:f>
        <x:v>5.6</x:v>
      </x:c>
      <x:c r="K282" s="76" t="str">
        <x:v>FrontDesk-01</x:v>
      </x:c>
      <x:c r="L282" s="113" t="n">
        <x:f>MAX(0,COUNTIFS($A$2:$A$401,A282,$C$2:$C$401,"&lt;"&amp;C282,$E$2:$E$401,"&gt;"&amp;C282)-1)</x:f>
        <x:v>1</x:v>
      </x:c>
      <x:c r="M282" s="113" t="n">
        <x:f>HOUR(C282)</x:f>
        <x:v>10</x:v>
      </x:c>
      <x:c r="N282" s="119" t="n">
        <x:f>ROUND((C282-A282-TIME(8,0,0))*1440,1)</x:f>
        <x:v>177.1</x:v>
      </x:c>
    </x:row>
    <x:row r="283" ht="18" customHeight="1">
      <x:c r="A283" s="101" t="n">
        <x:v>46135</x:v>
      </x:c>
      <x:c r="B283" s="76" t="str">
        <x:v>P0282</x:v>
      </x:c>
      <x:c r="C283" s="107" t="n">
        <x:v>46135.45730491898</x:v>
      </x:c>
      <x:c r="D283" s="107" t="n">
        <x:v>46135.462598252314</x:v>
      </x:c>
      <x:c r="E283" s="107" t="n">
        <x:v>46135.4664871412</x:v>
      </x:c>
      <x:c r="F283" s="76" t="str">
        <x:v>registration</x:v>
      </x:c>
      <x:c r="G283" s="113" t="n">
        <x:f>ROUND((E283-D283)*1440,1)</x:f>
        <x:v>5.6</x:v>
      </x:c>
      <x:c r="H283" s="113" t="n">
        <x:f>ROUND((D283-C283)*1440,1)</x:f>
        <x:v>7.6</x:v>
      </x:c>
      <x:c r="I283" s="113" t="n">
        <x:f>ROUND((E283-C283)*1440,1)</x:f>
        <x:v>13.2</x:v>
      </x:c>
      <x:c r="J283" s="113" t="n">
        <x:f>IF(A283=A282,ROUND((C283-C282)*1440,1),0)</x:f>
        <x:v>1.4</x:v>
      </x:c>
      <x:c r="K283" s="76" t="str">
        <x:v>FrontDesk-01</x:v>
      </x:c>
      <x:c r="L283" s="113" t="n">
        <x:f>MAX(0,COUNTIFS($A$2:$A$401,A283,$C$2:$C$401,"&lt;"&amp;C283,$E$2:$E$401,"&gt;"&amp;C283)-1)</x:f>
        <x:v>2</x:v>
      </x:c>
      <x:c r="M283" s="113" t="n">
        <x:f>HOUR(C283)</x:f>
        <x:v>10</x:v>
      </x:c>
      <x:c r="N283" s="119" t="n">
        <x:f>ROUND((C283-A283-TIME(8,0,0))*1440,1)</x:f>
        <x:v>178.5</x:v>
      </x:c>
    </x:row>
    <x:row r="284" ht="18" customHeight="1">
      <x:c r="A284" s="101" t="n">
        <x:v>46135</x:v>
      </x:c>
      <x:c r="B284" s="76" t="str">
        <x:v>P0283</x:v>
      </x:c>
      <x:c r="C284" s="107" t="n">
        <x:v>46135.460133402776</x:v>
      </x:c>
      <x:c r="D284" s="107" t="n">
        <x:v>46135.4664871412</x:v>
      </x:c>
      <x:c r="E284" s="107" t="n">
        <x:v>46135.47058436343</x:v>
      </x:c>
      <x:c r="F284" s="76" t="str">
        <x:v>sample_submission</x:v>
      </x:c>
      <x:c r="G284" s="113" t="n">
        <x:f>ROUND((E284-D284)*1440,1)</x:f>
        <x:v>5.9</x:v>
      </x:c>
      <x:c r="H284" s="113" t="n">
        <x:f>ROUND((D284-C284)*1440,1)</x:f>
        <x:v>9.1</x:v>
      </x:c>
      <x:c r="I284" s="113" t="n">
        <x:f>ROUND((E284-C284)*1440,1)</x:f>
        <x:v>15</x:v>
      </x:c>
      <x:c r="J284" s="113" t="n">
        <x:f>IF(A284=A283,ROUND((C284-C283)*1440,1),0)</x:f>
        <x:v>4.1</x:v>
      </x:c>
      <x:c r="K284" s="76" t="str">
        <x:v>FrontDesk-01</x:v>
      </x:c>
      <x:c r="L284" s="113" t="n">
        <x:f>MAX(0,COUNTIFS($A$2:$A$401,A284,$C$2:$C$401,"&lt;"&amp;C284,$E$2:$E$401,"&gt;"&amp;C284)-1)</x:f>
        <x:v>1</x:v>
      </x:c>
      <x:c r="M284" s="113" t="n">
        <x:f>HOUR(C284)</x:f>
        <x:v>11</x:v>
      </x:c>
      <x:c r="N284" s="119" t="n">
        <x:f>ROUND((C284-A284-TIME(8,0,0))*1440,1)</x:f>
        <x:v>182.6</x:v>
      </x:c>
    </x:row>
    <x:row r="285" ht="18" customHeight="1">
      <x:c r="A285" s="101" t="n">
        <x:v>46135</x:v>
      </x:c>
      <x:c r="B285" s="76" t="str">
        <x:v>P0284</x:v>
      </x:c>
      <x:c r="C285" s="107" t="n">
        <x:v>46135.465002083336</x:v>
      </x:c>
      <x:c r="D285" s="107" t="n">
        <x:v>46135.47058436343</x:v>
      </x:c>
      <x:c r="E285" s="107" t="n">
        <x:v>46135.47440380787</x:v>
      </x:c>
      <x:c r="F285" s="76" t="str">
        <x:v>registration</x:v>
      </x:c>
      <x:c r="G285" s="113" t="n">
        <x:f>ROUND((E285-D285)*1440,1)</x:f>
        <x:v>5.5</x:v>
      </x:c>
      <x:c r="H285" s="113" t="n">
        <x:f>ROUND((D285-C285)*1440,1)</x:f>
        <x:v>8</x:v>
      </x:c>
      <x:c r="I285" s="113" t="n">
        <x:f>ROUND((E285-C285)*1440,1)</x:f>
        <x:v>13.5</x:v>
      </x:c>
      <x:c r="J285" s="113" t="n">
        <x:f>IF(A285=A284,ROUND((C285-C284)*1440,1),0)</x:f>
        <x:v>7</x:v>
      </x:c>
      <x:c r="K285" s="76" t="str">
        <x:v>FrontDesk-01</x:v>
      </x:c>
      <x:c r="L285" s="113" t="n">
        <x:f>MAX(0,COUNTIFS($A$2:$A$401,A285,$C$2:$C$401,"&lt;"&amp;C285,$E$2:$E$401,"&gt;"&amp;C285)-1)</x:f>
        <x:v>1</x:v>
      </x:c>
      <x:c r="M285" s="113" t="n">
        <x:f>HOUR(C285)</x:f>
        <x:v>11</x:v>
      </x:c>
      <x:c r="N285" s="119" t="n">
        <x:f>ROUND((C285-A285-TIME(8,0,0))*1440,1)</x:f>
        <x:v>189.6</x:v>
      </x:c>
    </x:row>
    <x:row r="286" ht="18" customHeight="1">
      <x:c r="A286" s="101" t="n">
        <x:v>46135</x:v>
      </x:c>
      <x:c r="B286" s="76" t="str">
        <x:v>P0285</x:v>
      </x:c>
      <x:c r="C286" s="107" t="n">
        <x:v>46135.46514219907</x:v>
      </x:c>
      <x:c r="D286" s="107" t="n">
        <x:v>46135.47440380787</x:v>
      </x:c>
      <x:c r="E286" s="107" t="n">
        <x:v>46135.47801491898</x:v>
      </x:c>
      <x:c r="F286" s="76" t="str">
        <x:v>sample_submission</x:v>
      </x:c>
      <x:c r="G286" s="113" t="n">
        <x:f>ROUND((E286-D286)*1440,1)</x:f>
        <x:v>5.2</x:v>
      </x:c>
      <x:c r="H286" s="113" t="n">
        <x:f>ROUND((D286-C286)*1440,1)</x:f>
        <x:v>13.3</x:v>
      </x:c>
      <x:c r="I286" s="113" t="n">
        <x:f>ROUND((E286-C286)*1440,1)</x:f>
        <x:v>18.5</x:v>
      </x:c>
      <x:c r="J286" s="113" t="n">
        <x:f>IF(A286=A285,ROUND((C286-C285)*1440,1),0)</x:f>
        <x:v>0.2</x:v>
      </x:c>
      <x:c r="K286" s="76" t="str">
        <x:v>FrontDesk-01</x:v>
      </x:c>
      <x:c r="L286" s="113" t="n">
        <x:f>MAX(0,COUNTIFS($A$2:$A$401,A286,$C$2:$C$401,"&lt;"&amp;C286,$E$2:$E$401,"&gt;"&amp;C286)-1)</x:f>
        <x:v>2</x:v>
      </x:c>
      <x:c r="M286" s="113" t="n">
        <x:f>HOUR(C286)</x:f>
        <x:v>11</x:v>
      </x:c>
      <x:c r="N286" s="119" t="n">
        <x:f>ROUND((C286-A286-TIME(8,0,0))*1440,1)</x:f>
        <x:v>189.8</x:v>
      </x:c>
    </x:row>
    <x:row r="287" ht="18" customHeight="1">
      <x:c r="A287" s="101" t="n">
        <x:v>46135</x:v>
      </x:c>
      <x:c r="B287" s="76" t="str">
        <x:v>P0286</x:v>
      </x:c>
      <x:c r="C287" s="107" t="n">
        <x:v>46135.46747103009</x:v>
      </x:c>
      <x:c r="D287" s="107" t="n">
        <x:v>46135.47801491898</x:v>
      </x:c>
      <x:c r="E287" s="107" t="n">
        <x:v>46135.48079269676</x:v>
      </x:c>
      <x:c r="F287" s="76" t="str">
        <x:v>registration</x:v>
      </x:c>
      <x:c r="G287" s="113" t="n">
        <x:f>ROUND((E287-D287)*1440,1)</x:f>
        <x:v>4</x:v>
      </x:c>
      <x:c r="H287" s="113" t="n">
        <x:f>ROUND((D287-C287)*1440,1)</x:f>
        <x:v>15.2</x:v>
      </x:c>
      <x:c r="I287" s="113" t="n">
        <x:f>ROUND((E287-C287)*1440,1)</x:f>
        <x:v>19.2</x:v>
      </x:c>
      <x:c r="J287" s="113" t="n">
        <x:f>IF(A287=A286,ROUND((C287-C286)*1440,1),0)</x:f>
        <x:v>3.4</x:v>
      </x:c>
      <x:c r="K287" s="76" t="str">
        <x:v>FrontDesk-01</x:v>
      </x:c>
      <x:c r="L287" s="113" t="n">
        <x:f>MAX(0,COUNTIFS($A$2:$A$401,A287,$C$2:$C$401,"&lt;"&amp;C287,$E$2:$E$401,"&gt;"&amp;C287)-1)</x:f>
        <x:v>2</x:v>
      </x:c>
      <x:c r="M287" s="113" t="n">
        <x:f>HOUR(C287)</x:f>
        <x:v>11</x:v>
      </x:c>
      <x:c r="N287" s="119" t="n">
        <x:f>ROUND((C287-A287-TIME(8,0,0))*1440,1)</x:f>
        <x:v>193.2</x:v>
      </x:c>
    </x:row>
    <x:row r="288" ht="18" customHeight="1">
      <x:c r="A288" s="101" t="n">
        <x:v>46135</x:v>
      </x:c>
      <x:c r="B288" s="76" t="str">
        <x:v>P0287</x:v>
      </x:c>
      <x:c r="C288" s="107" t="n">
        <x:v>46135.469899247684</x:v>
      </x:c>
      <x:c r="D288" s="107" t="n">
        <x:v>46135.48079269676</x:v>
      </x:c>
      <x:c r="E288" s="107" t="n">
        <x:v>46135.48433436343</x:v>
      </x:c>
      <x:c r="F288" s="76" t="str">
        <x:v>sample_submission</x:v>
      </x:c>
      <x:c r="G288" s="113" t="n">
        <x:f>ROUND((E288-D288)*1440,1)</x:f>
        <x:v>5.1</x:v>
      </x:c>
      <x:c r="H288" s="113" t="n">
        <x:f>ROUND((D288-C288)*1440,1)</x:f>
        <x:v>15.7</x:v>
      </x:c>
      <x:c r="I288" s="113" t="n">
        <x:f>ROUND((E288-C288)*1440,1)</x:f>
        <x:v>20.8</x:v>
      </x:c>
      <x:c r="J288" s="113" t="n">
        <x:f>IF(A288=A287,ROUND((C288-C287)*1440,1),0)</x:f>
        <x:v>3.5</x:v>
      </x:c>
      <x:c r="K288" s="76" t="str">
        <x:v>FrontDesk-01</x:v>
      </x:c>
      <x:c r="L288" s="113" t="n">
        <x:f>MAX(0,COUNTIFS($A$2:$A$401,A288,$C$2:$C$401,"&lt;"&amp;C288,$E$2:$E$401,"&gt;"&amp;C288)-1)</x:f>
        <x:v>3</x:v>
      </x:c>
      <x:c r="M288" s="113" t="n">
        <x:f>HOUR(C288)</x:f>
        <x:v>11</x:v>
      </x:c>
      <x:c r="N288" s="119" t="n">
        <x:f>ROUND((C288-A288-TIME(8,0,0))*1440,1)</x:f>
        <x:v>196.7</x:v>
      </x:c>
    </x:row>
    <x:row r="289" ht="18" customHeight="1">
      <x:c r="A289" s="101" t="n">
        <x:v>46135</x:v>
      </x:c>
      <x:c r="B289" s="76" t="str">
        <x:v>P0288</x:v>
      </x:c>
      <x:c r="C289" s="107" t="n">
        <x:v>46135.47589447917</x:v>
      </x:c>
      <x:c r="D289" s="107" t="n">
        <x:v>46135.48433436343</x:v>
      </x:c>
      <x:c r="E289" s="107" t="n">
        <x:v>46135.48648714121</x:v>
      </x:c>
      <x:c r="F289" s="76" t="str">
        <x:v>report_collection</x:v>
      </x:c>
      <x:c r="G289" s="113" t="n">
        <x:f>ROUND((E289-D289)*1440,1)</x:f>
        <x:v>3.1</x:v>
      </x:c>
      <x:c r="H289" s="113" t="n">
        <x:f>ROUND((D289-C289)*1440,1)</x:f>
        <x:v>12.2</x:v>
      </x:c>
      <x:c r="I289" s="113" t="n">
        <x:f>ROUND((E289-C289)*1440,1)</x:f>
        <x:v>15.3</x:v>
      </x:c>
      <x:c r="J289" s="113" t="n">
        <x:f>IF(A289=A288,ROUND((C289-C288)*1440,1),0)</x:f>
        <x:v>8.6</x:v>
      </x:c>
      <x:c r="K289" s="76" t="str">
        <x:v>FrontDesk-01</x:v>
      </x:c>
      <x:c r="L289" s="113" t="n">
        <x:f>MAX(0,COUNTIFS($A$2:$A$401,A289,$C$2:$C$401,"&lt;"&amp;C289,$E$2:$E$401,"&gt;"&amp;C289)-1)</x:f>
        <x:v>2</x:v>
      </x:c>
      <x:c r="M289" s="113" t="n">
        <x:f>HOUR(C289)</x:f>
        <x:v>11</x:v>
      </x:c>
      <x:c r="N289" s="119" t="n">
        <x:f>ROUND((C289-A289-TIME(8,0,0))*1440,1)</x:f>
        <x:v>205.3</x:v>
      </x:c>
    </x:row>
    <x:row r="290" ht="18" customHeight="1">
      <x:c r="A290" s="101" t="n">
        <x:v>46135</x:v>
      </x:c>
      <x:c r="B290" s="76" t="str">
        <x:v>P0289</x:v>
      </x:c>
      <x:c r="C290" s="107" t="n">
        <x:v>46135.47981024306</x:v>
      </x:c>
      <x:c r="D290" s="107" t="n">
        <x:v>46135.48648714121</x:v>
      </x:c>
      <x:c r="E290" s="107" t="n">
        <x:v>46135.48815380787</x:v>
      </x:c>
      <x:c r="F290" s="76" t="str">
        <x:v>report_collection</x:v>
      </x:c>
      <x:c r="G290" s="113" t="n">
        <x:f>ROUND((E290-D290)*1440,1)</x:f>
        <x:v>2.4</x:v>
      </x:c>
      <x:c r="H290" s="113" t="n">
        <x:f>ROUND((D290-C290)*1440,1)</x:f>
        <x:v>9.6</x:v>
      </x:c>
      <x:c r="I290" s="113" t="n">
        <x:f>ROUND((E290-C290)*1440,1)</x:f>
        <x:v>12</x:v>
      </x:c>
      <x:c r="J290" s="113" t="n">
        <x:f>IF(A290=A289,ROUND((C290-C289)*1440,1),0)</x:f>
        <x:v>5.6</x:v>
      </x:c>
      <x:c r="K290" s="76" t="str">
        <x:v>FrontDesk-01</x:v>
      </x:c>
      <x:c r="L290" s="113" t="n">
        <x:f>MAX(0,COUNTIFS($A$2:$A$401,A290,$C$2:$C$401,"&lt;"&amp;C290,$E$2:$E$401,"&gt;"&amp;C290)-1)</x:f>
        <x:v>2</x:v>
      </x:c>
      <x:c r="M290" s="113" t="n">
        <x:f>HOUR(C290)</x:f>
        <x:v>11</x:v>
      </x:c>
      <x:c r="N290" s="119" t="n">
        <x:f>ROUND((C290-A290-TIME(8,0,0))*1440,1)</x:f>
        <x:v>210.9</x:v>
      </x:c>
    </x:row>
    <x:row r="291" ht="18" customHeight="1">
      <x:c r="A291" s="101" t="n">
        <x:v>46135</x:v>
      </x:c>
      <x:c r="B291" s="76" t="str">
        <x:v>P0290</x:v>
      </x:c>
      <x:c r="C291" s="107" t="n">
        <x:v>46135.4824228125</x:v>
      </x:c>
      <x:c r="D291" s="107" t="n">
        <x:v>46135.48815380787</x:v>
      </x:c>
      <x:c r="E291" s="107" t="n">
        <x:v>46135.4889871412</x:v>
      </x:c>
      <x:c r="F291" s="76" t="str">
        <x:v>report_collection</x:v>
      </x:c>
      <x:c r="G291" s="113" t="n">
        <x:f>ROUND((E291-D291)*1440,1)</x:f>
        <x:v>1.2</x:v>
      </x:c>
      <x:c r="H291" s="113" t="n">
        <x:f>ROUND((D291-C291)*1440,1)</x:f>
        <x:v>8.3</x:v>
      </x:c>
      <x:c r="I291" s="113" t="n">
        <x:f>ROUND((E291-C291)*1440,1)</x:f>
        <x:v>9.5</x:v>
      </x:c>
      <x:c r="J291" s="113" t="n">
        <x:f>IF(A291=A290,ROUND((C291-C290)*1440,1),0)</x:f>
        <x:v>3.8</x:v>
      </x:c>
      <x:c r="K291" s="76" t="str">
        <x:v>FrontDesk-01</x:v>
      </x:c>
      <x:c r="L291" s="113" t="n">
        <x:f>MAX(0,COUNTIFS($A$2:$A$401,A291,$C$2:$C$401,"&lt;"&amp;C291,$E$2:$E$401,"&gt;"&amp;C291)-1)</x:f>
        <x:v>2</x:v>
      </x:c>
      <x:c r="M291" s="113" t="n">
        <x:f>HOUR(C291)</x:f>
        <x:v>11</x:v>
      </x:c>
      <x:c r="N291" s="119" t="n">
        <x:f>ROUND((C291-A291-TIME(8,0,0))*1440,1)</x:f>
        <x:v>214.7</x:v>
      </x:c>
    </x:row>
    <x:row r="292" ht="18" customHeight="1">
      <x:c r="A292" s="101" t="n">
        <x:v>46135</x:v>
      </x:c>
      <x:c r="B292" s="76" t="str">
        <x:v>P0291</x:v>
      </x:c>
      <x:c r="C292" s="107" t="n">
        <x:v>46135.48461153935</x:v>
      </x:c>
      <x:c r="D292" s="107" t="n">
        <x:v>46135.4889871412</x:v>
      </x:c>
      <x:c r="E292" s="107" t="n">
        <x:v>46135.49127880787</x:v>
      </x:c>
      <x:c r="F292" s="76" t="str">
        <x:v>sample_submission</x:v>
      </x:c>
      <x:c r="G292" s="113" t="n">
        <x:f>ROUND((E292-D292)*1440,1)</x:f>
        <x:v>3.3</x:v>
      </x:c>
      <x:c r="H292" s="113" t="n">
        <x:f>ROUND((D292-C292)*1440,1)</x:f>
        <x:v>6.3</x:v>
      </x:c>
      <x:c r="I292" s="113" t="n">
        <x:f>ROUND((E292-C292)*1440,1)</x:f>
        <x:v>9.6</x:v>
      </x:c>
      <x:c r="J292" s="113" t="n">
        <x:f>IF(A292=A291,ROUND((C292-C291)*1440,1),0)</x:f>
        <x:v>3.2</x:v>
      </x:c>
      <x:c r="K292" s="76" t="str">
        <x:v>FrontDesk-01</x:v>
      </x:c>
      <x:c r="L292" s="113" t="n">
        <x:f>MAX(0,COUNTIFS($A$2:$A$401,A292,$C$2:$C$401,"&lt;"&amp;C292,$E$2:$E$401,"&gt;"&amp;C292)-1)</x:f>
        <x:v>2</x:v>
      </x:c>
      <x:c r="M292" s="113" t="n">
        <x:f>HOUR(C292)</x:f>
        <x:v>11</x:v>
      </x:c>
      <x:c r="N292" s="119" t="n">
        <x:f>ROUND((C292-A292-TIME(8,0,0))*1440,1)</x:f>
        <x:v>217.8</x:v>
      </x:c>
    </x:row>
    <x:row r="293" ht="18" customHeight="1">
      <x:c r="A293" s="101" t="n">
        <x:v>46135</x:v>
      </x:c>
      <x:c r="B293" s="76" t="str">
        <x:v>P0292</x:v>
      </x:c>
      <x:c r="C293" s="107" t="n">
        <x:v>46135.48482748843</x:v>
      </x:c>
      <x:c r="D293" s="107" t="n">
        <x:v>46135.49127880787</x:v>
      </x:c>
      <x:c r="E293" s="107" t="n">
        <x:v>46135.49218158565</x:v>
      </x:c>
      <x:c r="F293" s="76" t="str">
        <x:v>inquiry</x:v>
      </x:c>
      <x:c r="G293" s="113" t="n">
        <x:f>ROUND((E293-D293)*1440,1)</x:f>
        <x:v>1.3</x:v>
      </x:c>
      <x:c r="H293" s="113" t="n">
        <x:f>ROUND((D293-C293)*1440,1)</x:f>
        <x:v>9.3</x:v>
      </x:c>
      <x:c r="I293" s="113" t="n">
        <x:f>ROUND((E293-C293)*1440,1)</x:f>
        <x:v>10.6</x:v>
      </x:c>
      <x:c r="J293" s="113" t="n">
        <x:f>IF(A293=A292,ROUND((C293-C292)*1440,1),0)</x:f>
        <x:v>0.3</x:v>
      </x:c>
      <x:c r="K293" s="76" t="str">
        <x:v>FrontDesk-01</x:v>
      </x:c>
      <x:c r="L293" s="113" t="n">
        <x:f>MAX(0,COUNTIFS($A$2:$A$401,A293,$C$2:$C$401,"&lt;"&amp;C293,$E$2:$E$401,"&gt;"&amp;C293)-1)</x:f>
        <x:v>3</x:v>
      </x:c>
      <x:c r="M293" s="113" t="n">
        <x:f>HOUR(C293)</x:f>
        <x:v>11</x:v>
      </x:c>
      <x:c r="N293" s="119" t="n">
        <x:f>ROUND((C293-A293-TIME(8,0,0))*1440,1)</x:f>
        <x:v>218.2</x:v>
      </x:c>
    </x:row>
    <x:row r="294" ht="18" customHeight="1">
      <x:c r="A294" s="101" t="n">
        <x:v>46135</x:v>
      </x:c>
      <x:c r="B294" s="76" t="str">
        <x:v>P0293</x:v>
      </x:c>
      <x:c r="C294" s="107" t="n">
        <x:v>46135.50689747685</x:v>
      </x:c>
      <x:c r="D294" s="107" t="n">
        <x:v>46135.50689747685</x:v>
      </x:c>
      <x:c r="E294" s="107" t="n">
        <x:v>46135.51092525463</x:v>
      </x:c>
      <x:c r="F294" s="76" t="str">
        <x:v>sample_submission</x:v>
      </x:c>
      <x:c r="G294" s="113" t="n">
        <x:f>ROUND((E294-D294)*1440,1)</x:f>
        <x:v>5.8</x:v>
      </x:c>
      <x:c r="H294" s="113" t="n">
        <x:f>ROUND((D294-C294)*1440,1)</x:f>
        <x:v>0</x:v>
      </x:c>
      <x:c r="I294" s="113" t="n">
        <x:f>ROUND((E294-C294)*1440,1)</x:f>
        <x:v>5.8</x:v>
      </x:c>
      <x:c r="J294" s="113" t="n">
        <x:f>IF(A294=A293,ROUND((C294-C293)*1440,1),0)</x:f>
        <x:v>31.8</x:v>
      </x:c>
      <x:c r="K294" s="76" t="str">
        <x:v>FrontDesk-01</x:v>
      </x:c>
      <x:c r="L294" s="113" t="n">
        <x:f>MAX(0,COUNTIFS($A$2:$A$401,A294,$C$2:$C$401,"&lt;"&amp;C294,$E$2:$E$401,"&gt;"&amp;C294)-1)</x:f>
        <x:v>0</x:v>
      </x:c>
      <x:c r="M294" s="113" t="n">
        <x:f>HOUR(C294)</x:f>
        <x:v>12</x:v>
      </x:c>
      <x:c r="N294" s="119" t="n">
        <x:f>ROUND((C294-A294-TIME(8,0,0))*1440,1)</x:f>
        <x:v>249.9</x:v>
      </x:c>
    </x:row>
    <x:row r="295" ht="18" customHeight="1">
      <x:c r="A295" s="101" t="n">
        <x:v>46135</x:v>
      </x:c>
      <x:c r="B295" s="76" t="str">
        <x:v>P0294</x:v>
      </x:c>
      <x:c r="C295" s="107" t="n">
        <x:v>46135.516744699074</x:v>
      </x:c>
      <x:c r="D295" s="107" t="n">
        <x:v>46135.516744699074</x:v>
      </x:c>
      <x:c r="E295" s="107" t="n">
        <x:v>46135.5183419213</x:v>
      </x:c>
      <x:c r="F295" s="76" t="str">
        <x:v>report_collection</x:v>
      </x:c>
      <x:c r="G295" s="113" t="n">
        <x:f>ROUND((E295-D295)*1440,1)</x:f>
        <x:v>2.3</x:v>
      </x:c>
      <x:c r="H295" s="113" t="n">
        <x:f>ROUND((D295-C295)*1440,1)</x:f>
        <x:v>0</x:v>
      </x:c>
      <x:c r="I295" s="113" t="n">
        <x:f>ROUND((E295-C295)*1440,1)</x:f>
        <x:v>2.3</x:v>
      </x:c>
      <x:c r="J295" s="113" t="n">
        <x:f>IF(A295=A294,ROUND((C295-C294)*1440,1),0)</x:f>
        <x:v>14.2</x:v>
      </x:c>
      <x:c r="K295" s="76" t="str">
        <x:v>FrontDesk-01</x:v>
      </x:c>
      <x:c r="L295" s="113" t="n">
        <x:f>MAX(0,COUNTIFS($A$2:$A$401,A295,$C$2:$C$401,"&lt;"&amp;C295,$E$2:$E$401,"&gt;"&amp;C295)-1)</x:f>
        <x:v>0</x:v>
      </x:c>
      <x:c r="M295" s="113" t="n">
        <x:f>HOUR(C295)</x:f>
        <x:v>12</x:v>
      </x:c>
      <x:c r="N295" s="119" t="n">
        <x:f>ROUND((C295-A295-TIME(8,0,0))*1440,1)</x:f>
        <x:v>264.1</x:v>
      </x:c>
    </x:row>
    <x:row r="296" ht="18" customHeight="1">
      <x:c r="A296" s="101" t="n">
        <x:v>46135</x:v>
      </x:c>
      <x:c r="B296" s="76" t="str">
        <x:v>P0295</x:v>
      </x:c>
      <x:c r="C296" s="107" t="n">
        <x:v>46135.535668923614</x:v>
      </x:c>
      <x:c r="D296" s="107" t="n">
        <x:v>46135.535668923614</x:v>
      </x:c>
      <x:c r="E296" s="107" t="n">
        <x:v>46135.53837725695</x:v>
      </x:c>
      <x:c r="F296" s="76" t="str">
        <x:v>billing_payment</x:v>
      </x:c>
      <x:c r="G296" s="113" t="n">
        <x:f>ROUND((E296-D296)*1440,1)</x:f>
        <x:v>3.9</x:v>
      </x:c>
      <x:c r="H296" s="113" t="n">
        <x:f>ROUND((D296-C296)*1440,1)</x:f>
        <x:v>0</x:v>
      </x:c>
      <x:c r="I296" s="113" t="n">
        <x:f>ROUND((E296-C296)*1440,1)</x:f>
        <x:v>3.9</x:v>
      </x:c>
      <x:c r="J296" s="113" t="n">
        <x:f>IF(A296=A295,ROUND((C296-C295)*1440,1),0)</x:f>
        <x:v>27.3</x:v>
      </x:c>
      <x:c r="K296" s="76" t="str">
        <x:v>FrontDesk-01</x:v>
      </x:c>
      <x:c r="L296" s="113" t="n">
        <x:f>MAX(0,COUNTIFS($A$2:$A$401,A296,$C$2:$C$401,"&lt;"&amp;C296,$E$2:$E$401,"&gt;"&amp;C296)-1)</x:f>
        <x:v>0</x:v>
      </x:c>
      <x:c r="M296" s="113" t="n">
        <x:f>HOUR(C296)</x:f>
        <x:v>12</x:v>
      </x:c>
      <x:c r="N296" s="119" t="n">
        <x:f>ROUND((C296-A296-TIME(8,0,0))*1440,1)</x:f>
        <x:v>291.4</x:v>
      </x:c>
    </x:row>
    <x:row r="297" ht="18" customHeight="1">
      <x:c r="A297" s="101" t="n">
        <x:v>46135</x:v>
      </x:c>
      <x:c r="B297" s="76" t="str">
        <x:v>P0296</x:v>
      </x:c>
      <x:c r="C297" s="107" t="n">
        <x:v>46135.54458361111</x:v>
      </x:c>
      <x:c r="D297" s="107" t="n">
        <x:v>46135.54458361111</x:v>
      </x:c>
      <x:c r="E297" s="107" t="n">
        <x:v>46135.54562527778</x:v>
      </x:c>
      <x:c r="F297" s="76" t="str">
        <x:v>inquiry</x:v>
      </x:c>
      <x:c r="G297" s="113" t="n">
        <x:f>ROUND((E297-D297)*1440,1)</x:f>
        <x:v>1.5</x:v>
      </x:c>
      <x:c r="H297" s="113" t="n">
        <x:f>ROUND((D297-C297)*1440,1)</x:f>
        <x:v>0</x:v>
      </x:c>
      <x:c r="I297" s="113" t="n">
        <x:f>ROUND((E297-C297)*1440,1)</x:f>
        <x:v>1.5</x:v>
      </x:c>
      <x:c r="J297" s="113" t="n">
        <x:f>IF(A297=A296,ROUND((C297-C296)*1440,1),0)</x:f>
        <x:v>12.8</x:v>
      </x:c>
      <x:c r="K297" s="76" t="str">
        <x:v>FrontDesk-01</x:v>
      </x:c>
      <x:c r="L297" s="113" t="n">
        <x:f>MAX(0,COUNTIFS($A$2:$A$401,A297,$C$2:$C$401,"&lt;"&amp;C297,$E$2:$E$401,"&gt;"&amp;C297)-1)</x:f>
        <x:v>0</x:v>
      </x:c>
      <x:c r="M297" s="113" t="n">
        <x:f>HOUR(C297)</x:f>
        <x:v>13</x:v>
      </x:c>
      <x:c r="N297" s="119" t="n">
        <x:f>ROUND((C297-A297-TIME(8,0,0))*1440,1)</x:f>
        <x:v>304.2</x:v>
      </x:c>
    </x:row>
    <x:row r="298" ht="18" customHeight="1">
      <x:c r="A298" s="101" t="n">
        <x:v>46135</x:v>
      </x:c>
      <x:c r="B298" s="76" t="str">
        <x:v>P0297</x:v>
      </x:c>
      <x:c r="C298" s="107" t="n">
        <x:v>46135.55853649305</x:v>
      </x:c>
      <x:c r="D298" s="107" t="n">
        <x:v>46135.55853649305</x:v>
      </x:c>
      <x:c r="E298" s="107" t="n">
        <x:v>46135.55978649305</x:v>
      </x:c>
      <x:c r="F298" s="76" t="str">
        <x:v>report_collection</x:v>
      </x:c>
      <x:c r="G298" s="113" t="n">
        <x:f>ROUND((E298-D298)*1440,1)</x:f>
        <x:v>1.8</x:v>
      </x:c>
      <x:c r="H298" s="113" t="n">
        <x:f>ROUND((D298-C298)*1440,1)</x:f>
        <x:v>0</x:v>
      </x:c>
      <x:c r="I298" s="113" t="n">
        <x:f>ROUND((E298-C298)*1440,1)</x:f>
        <x:v>1.8</x:v>
      </x:c>
      <x:c r="J298" s="113" t="n">
        <x:f>IF(A298=A297,ROUND((C298-C297)*1440,1),0)</x:f>
        <x:v>20.1</x:v>
      </x:c>
      <x:c r="K298" s="76" t="str">
        <x:v>FrontDesk-01</x:v>
      </x:c>
      <x:c r="L298" s="113" t="n">
        <x:f>MAX(0,COUNTIFS($A$2:$A$401,A298,$C$2:$C$401,"&lt;"&amp;C298,$E$2:$E$401,"&gt;"&amp;C298)-1)</x:f>
        <x:v>0</x:v>
      </x:c>
      <x:c r="M298" s="113" t="n">
        <x:f>HOUR(C298)</x:f>
        <x:v>13</x:v>
      </x:c>
      <x:c r="N298" s="119" t="n">
        <x:f>ROUND((C298-A298-TIME(8,0,0))*1440,1)</x:f>
        <x:v>324.3</x:v>
      </x:c>
    </x:row>
    <x:row r="299" ht="18" customHeight="1">
      <x:c r="A299" s="101" t="n">
        <x:v>46135</x:v>
      </x:c>
      <x:c r="B299" s="76" t="str">
        <x:v>P0298</x:v>
      </x:c>
      <x:c r="C299" s="107" t="n">
        <x:v>46135.5588505787</x:v>
      </x:c>
      <x:c r="D299" s="107" t="n">
        <x:v>46135.55978649305</x:v>
      </x:c>
      <x:c r="E299" s="107" t="n">
        <x:v>46135.56200871528</x:v>
      </x:c>
      <x:c r="F299" s="76" t="str">
        <x:v>billing_payment</x:v>
      </x:c>
      <x:c r="G299" s="113" t="n">
        <x:f>ROUND((E299-D299)*1440,1)</x:f>
        <x:v>3.2</x:v>
      </x:c>
      <x:c r="H299" s="113" t="n">
        <x:f>ROUND((D299-C299)*1440,1)</x:f>
        <x:v>1.3</x:v>
      </x:c>
      <x:c r="I299" s="113" t="n">
        <x:f>ROUND((E299-C299)*1440,1)</x:f>
        <x:v>4.5</x:v>
      </x:c>
      <x:c r="J299" s="113" t="n">
        <x:f>IF(A299=A298,ROUND((C299-C298)*1440,1),0)</x:f>
        <x:v>0.5</x:v>
      </x:c>
      <x:c r="K299" s="76" t="str">
        <x:v>FrontDesk-01</x:v>
      </x:c>
      <x:c r="L299" s="113" t="n">
        <x:f>MAX(0,COUNTIFS($A$2:$A$401,A299,$C$2:$C$401,"&lt;"&amp;C299,$E$2:$E$401,"&gt;"&amp;C299)-1)</x:f>
        <x:v>0</x:v>
      </x:c>
      <x:c r="M299" s="113" t="n">
        <x:f>HOUR(C299)</x:f>
        <x:v>13</x:v>
      </x:c>
      <x:c r="N299" s="119" t="n">
        <x:f>ROUND((C299-A299-TIME(8,0,0))*1440,1)</x:f>
        <x:v>324.7</x:v>
      </x:c>
    </x:row>
    <x:row r="300" ht="18" customHeight="1">
      <x:c r="A300" s="101" t="n">
        <x:v>46135</x:v>
      </x:c>
      <x:c r="B300" s="76" t="str">
        <x:v>P0299</x:v>
      </x:c>
      <x:c r="C300" s="107" t="n">
        <x:v>46135.55998184028</x:v>
      </x:c>
      <x:c r="D300" s="107" t="n">
        <x:v>46135.56200871528</x:v>
      </x:c>
      <x:c r="E300" s="107" t="n">
        <x:v>46135.56693927084</x:v>
      </x:c>
      <x:c r="F300" s="76" t="str">
        <x:v>sample_submission</x:v>
      </x:c>
      <x:c r="G300" s="113" t="n">
        <x:f>ROUND((E300-D300)*1440,1)</x:f>
        <x:v>7.1</x:v>
      </x:c>
      <x:c r="H300" s="113" t="n">
        <x:f>ROUND((D300-C300)*1440,1)</x:f>
        <x:v>2.9</x:v>
      </x:c>
      <x:c r="I300" s="113" t="n">
        <x:f>ROUND((E300-C300)*1440,1)</x:f>
        <x:v>10</x:v>
      </x:c>
      <x:c r="J300" s="113" t="n">
        <x:f>IF(A300=A299,ROUND((C300-C299)*1440,1),0)</x:f>
        <x:v>1.6</x:v>
      </x:c>
      <x:c r="K300" s="76" t="str">
        <x:v>FrontDesk-01</x:v>
      </x:c>
      <x:c r="L300" s="113" t="n">
        <x:f>MAX(0,COUNTIFS($A$2:$A$401,A300,$C$2:$C$401,"&lt;"&amp;C300,$E$2:$E$401,"&gt;"&amp;C300)-1)</x:f>
        <x:v>0</x:v>
      </x:c>
      <x:c r="M300" s="113" t="n">
        <x:f>HOUR(C300)</x:f>
        <x:v>13</x:v>
      </x:c>
      <x:c r="N300" s="119" t="n">
        <x:f>ROUND((C300-A300-TIME(8,0,0))*1440,1)</x:f>
        <x:v>326.4</x:v>
      </x:c>
    </x:row>
    <x:row r="301" ht="18" customHeight="1">
      <x:c r="A301" s="101" t="n">
        <x:v>46135</x:v>
      </x:c>
      <x:c r="B301" s="76" t="str">
        <x:v>P0300</x:v>
      </x:c>
      <x:c r="C301" s="107" t="n">
        <x:v>46135.56775903935</x:v>
      </x:c>
      <x:c r="D301" s="107" t="n">
        <x:v>46135.56775903935</x:v>
      </x:c>
      <x:c r="E301" s="107" t="n">
        <x:v>46135.56991181713</x:v>
      </x:c>
      <x:c r="F301" s="76" t="str">
        <x:v>registration</x:v>
      </x:c>
      <x:c r="G301" s="113" t="n">
        <x:f>ROUND((E301-D301)*1440,1)</x:f>
        <x:v>3.1</x:v>
      </x:c>
      <x:c r="H301" s="113" t="n">
        <x:f>ROUND((D301-C301)*1440,1)</x:f>
        <x:v>0</x:v>
      </x:c>
      <x:c r="I301" s="113" t="n">
        <x:f>ROUND((E301-C301)*1440,1)</x:f>
        <x:v>3.1</x:v>
      </x:c>
      <x:c r="J301" s="113" t="n">
        <x:f>IF(A301=A300,ROUND((C301-C300)*1440,1),0)</x:f>
        <x:v>11.2</x:v>
      </x:c>
      <x:c r="K301" s="76" t="str">
        <x:v>FrontDesk-01</x:v>
      </x:c>
      <x:c r="L301" s="113" t="n">
        <x:f>MAX(0,COUNTIFS($A$2:$A$401,A301,$C$2:$C$401,"&lt;"&amp;C301,$E$2:$E$401,"&gt;"&amp;C301)-1)</x:f>
        <x:v>0</x:v>
      </x:c>
      <x:c r="M301" s="113" t="n">
        <x:f>HOUR(C301)</x:f>
        <x:v>13</x:v>
      </x:c>
      <x:c r="N301" s="119" t="n">
        <x:f>ROUND((C301-A301-TIME(8,0,0))*1440,1)</x:f>
        <x:v>337.6</x:v>
      </x:c>
    </x:row>
    <x:row r="302" ht="18" customHeight="1">
      <x:c r="A302" s="101" t="n">
        <x:v>46135</x:v>
      </x:c>
      <x:c r="B302" s="76" t="str">
        <x:v>P0301</x:v>
      </x:c>
      <x:c r="C302" s="107" t="n">
        <x:v>46135.56823511574</x:v>
      </x:c>
      <x:c r="D302" s="107" t="n">
        <x:v>46135.56991181713</x:v>
      </x:c>
      <x:c r="E302" s="107" t="n">
        <x:v>46135.57289792824</x:v>
      </x:c>
      <x:c r="F302" s="76" t="str">
        <x:v>sample_submission</x:v>
      </x:c>
      <x:c r="G302" s="113" t="n">
        <x:f>ROUND((E302-D302)*1440,1)</x:f>
        <x:v>4.3</x:v>
      </x:c>
      <x:c r="H302" s="113" t="n">
        <x:f>ROUND((D302-C302)*1440,1)</x:f>
        <x:v>2.4</x:v>
      </x:c>
      <x:c r="I302" s="113" t="n">
        <x:f>ROUND((E302-C302)*1440,1)</x:f>
        <x:v>6.7</x:v>
      </x:c>
      <x:c r="J302" s="113" t="n">
        <x:f>IF(A302=A301,ROUND((C302-C301)*1440,1),0)</x:f>
        <x:v>0.7</x:v>
      </x:c>
      <x:c r="K302" s="76" t="str">
        <x:v>FrontDesk-01</x:v>
      </x:c>
      <x:c r="L302" s="113" t="n">
        <x:f>MAX(0,COUNTIFS($A$2:$A$401,A302,$C$2:$C$401,"&lt;"&amp;C302,$E$2:$E$401,"&gt;"&amp;C302)-1)</x:f>
        <x:v>0</x:v>
      </x:c>
      <x:c r="M302" s="113" t="n">
        <x:f>HOUR(C302)</x:f>
        <x:v>13</x:v>
      </x:c>
      <x:c r="N302" s="119" t="n">
        <x:f>ROUND((C302-A302-TIME(8,0,0))*1440,1)</x:f>
        <x:v>338.3</x:v>
      </x:c>
    </x:row>
    <x:row r="303" ht="18" customHeight="1">
      <x:c r="A303" s="101" t="n">
        <x:v>46135</x:v>
      </x:c>
      <x:c r="B303" s="76" t="str">
        <x:v>P0302</x:v>
      </x:c>
      <x:c r="C303" s="107" t="n">
        <x:v>46135.56983028935</x:v>
      </x:c>
      <x:c r="D303" s="107" t="n">
        <x:v>46135.57289792824</x:v>
      </x:c>
      <x:c r="E303" s="107" t="n">
        <x:v>46135.57873126157</x:v>
      </x:c>
      <x:c r="F303" s="76" t="str">
        <x:v>billing_payment</x:v>
      </x:c>
      <x:c r="G303" s="113" t="n">
        <x:f>ROUND((E303-D303)*1440,1)</x:f>
        <x:v>8.4</x:v>
      </x:c>
      <x:c r="H303" s="113" t="n">
        <x:f>ROUND((D303-C303)*1440,1)</x:f>
        <x:v>4.4</x:v>
      </x:c>
      <x:c r="I303" s="113" t="n">
        <x:f>ROUND((E303-C303)*1440,1)</x:f>
        <x:v>12.8</x:v>
      </x:c>
      <x:c r="J303" s="113" t="n">
        <x:f>IF(A303=A302,ROUND((C303-C302)*1440,1),0)</x:f>
        <x:v>2.3</x:v>
      </x:c>
      <x:c r="K303" s="76" t="str">
        <x:v>FrontDesk-01</x:v>
      </x:c>
      <x:c r="L303" s="113" t="n">
        <x:f>MAX(0,COUNTIFS($A$2:$A$401,A303,$C$2:$C$401,"&lt;"&amp;C303,$E$2:$E$401,"&gt;"&amp;C303)-1)</x:f>
        <x:v>1</x:v>
      </x:c>
      <x:c r="M303" s="113" t="n">
        <x:f>HOUR(C303)</x:f>
        <x:v>13</x:v>
      </x:c>
      <x:c r="N303" s="119" t="n">
        <x:f>ROUND((C303-A303-TIME(8,0,0))*1440,1)</x:f>
        <x:v>340.6</x:v>
      </x:c>
    </x:row>
    <x:row r="304" ht="18" customHeight="1">
      <x:c r="A304" s="101" t="n">
        <x:v>46135</x:v>
      </x:c>
      <x:c r="B304" s="76" t="str">
        <x:v>P0303</x:v>
      </x:c>
      <x:c r="C304" s="107" t="n">
        <x:v>46135.57143239583</x:v>
      </x:c>
      <x:c r="D304" s="107" t="n">
        <x:v>46135.57873126157</x:v>
      </x:c>
      <x:c r="E304" s="107" t="n">
        <x:v>46135.583592372685</x:v>
      </x:c>
      <x:c r="F304" s="76" t="str">
        <x:v>report_collection</x:v>
      </x:c>
      <x:c r="G304" s="113" t="n">
        <x:f>ROUND((E304-D304)*1440,1)</x:f>
        <x:v>7</x:v>
      </x:c>
      <x:c r="H304" s="113" t="n">
        <x:f>ROUND((D304-C304)*1440,1)</x:f>
        <x:v>10.5</x:v>
      </x:c>
      <x:c r="I304" s="113" t="n">
        <x:f>ROUND((E304-C304)*1440,1)</x:f>
        <x:v>17.5</x:v>
      </x:c>
      <x:c r="J304" s="113" t="n">
        <x:f>IF(A304=A303,ROUND((C304-C303)*1440,1),0)</x:f>
        <x:v>2.3</x:v>
      </x:c>
      <x:c r="K304" s="76" t="str">
        <x:v>FrontDesk-01</x:v>
      </x:c>
      <x:c r="L304" s="113" t="n">
        <x:f>MAX(0,COUNTIFS($A$2:$A$401,A304,$C$2:$C$401,"&lt;"&amp;C304,$E$2:$E$401,"&gt;"&amp;C304)-1)</x:f>
        <x:v>1</x:v>
      </x:c>
      <x:c r="M304" s="113" t="n">
        <x:f>HOUR(C304)</x:f>
        <x:v>13</x:v>
      </x:c>
      <x:c r="N304" s="119" t="n">
        <x:f>ROUND((C304-A304-TIME(8,0,0))*1440,1)</x:f>
        <x:v>342.9</x:v>
      </x:c>
    </x:row>
    <x:row r="305" ht="18" customHeight="1">
      <x:c r="A305" s="101" t="n">
        <x:v>46135</x:v>
      </x:c>
      <x:c r="B305" s="76" t="str">
        <x:v>P0304</x:v>
      </x:c>
      <x:c r="C305" s="107" t="n">
        <x:v>46135.571667199074</x:v>
      </x:c>
      <x:c r="D305" s="107" t="n">
        <x:v>46135.583592372685</x:v>
      </x:c>
      <x:c r="E305" s="107" t="n">
        <x:v>46135.58414792824</x:v>
      </x:c>
      <x:c r="F305" s="76" t="str">
        <x:v>inquiry</x:v>
      </x:c>
      <x:c r="G305" s="113" t="n">
        <x:f>ROUND((E305-D305)*1440,1)</x:f>
        <x:v>0.8</x:v>
      </x:c>
      <x:c r="H305" s="113" t="n">
        <x:f>ROUND((D305-C305)*1440,1)</x:f>
        <x:v>17.2</x:v>
      </x:c>
      <x:c r="I305" s="113" t="n">
        <x:f>ROUND((E305-C305)*1440,1)</x:f>
        <x:v>18</x:v>
      </x:c>
      <x:c r="J305" s="113" t="n">
        <x:f>IF(A305=A304,ROUND((C305-C304)*1440,1),0)</x:f>
        <x:v>0.3</x:v>
      </x:c>
      <x:c r="K305" s="76" t="str">
        <x:v>FrontDesk-01</x:v>
      </x:c>
      <x:c r="L305" s="113" t="n">
        <x:f>MAX(0,COUNTIFS($A$2:$A$401,A305,$C$2:$C$401,"&lt;"&amp;C305,$E$2:$E$401,"&gt;"&amp;C305)-1)</x:f>
        <x:v>2</x:v>
      </x:c>
      <x:c r="M305" s="113" t="n">
        <x:f>HOUR(C305)</x:f>
        <x:v>13</x:v>
      </x:c>
      <x:c r="N305" s="119" t="n">
        <x:f>ROUND((C305-A305-TIME(8,0,0))*1440,1)</x:f>
        <x:v>343.2</x:v>
      </x:c>
    </x:row>
    <x:row r="306" ht="18" customHeight="1">
      <x:c r="A306" s="101" t="n">
        <x:v>46135</x:v>
      </x:c>
      <x:c r="B306" s="76" t="str">
        <x:v>P0305</x:v>
      </x:c>
      <x:c r="C306" s="107" t="n">
        <x:v>46135.572007002316</x:v>
      </x:c>
      <x:c r="D306" s="107" t="n">
        <x:v>46135.58414792824</x:v>
      </x:c>
      <x:c r="E306" s="107" t="n">
        <x:v>46135.5897034838</x:v>
      </x:c>
      <x:c r="F306" s="76" t="str">
        <x:v>sample_submission</x:v>
      </x:c>
      <x:c r="G306" s="113" t="n">
        <x:f>ROUND((E306-D306)*1440,1)</x:f>
        <x:v>8</x:v>
      </x:c>
      <x:c r="H306" s="113" t="n">
        <x:f>ROUND((D306-C306)*1440,1)</x:f>
        <x:v>17.5</x:v>
      </x:c>
      <x:c r="I306" s="113" t="n">
        <x:f>ROUND((E306-C306)*1440,1)</x:f>
        <x:v>25.5</x:v>
      </x:c>
      <x:c r="J306" s="113" t="n">
        <x:f>IF(A306=A305,ROUND((C306-C305)*1440,1),0)</x:f>
        <x:v>0.5</x:v>
      </x:c>
      <x:c r="K306" s="76" t="str">
        <x:v>FrontDesk-01</x:v>
      </x:c>
      <x:c r="L306" s="113" t="n">
        <x:f>MAX(0,COUNTIFS($A$2:$A$401,A306,$C$2:$C$401,"&lt;"&amp;C306,$E$2:$E$401,"&gt;"&amp;C306)-1)</x:f>
        <x:v>3</x:v>
      </x:c>
      <x:c r="M306" s="113" t="n">
        <x:f>HOUR(C306)</x:f>
        <x:v>13</x:v>
      </x:c>
      <x:c r="N306" s="119" t="n">
        <x:f>ROUND((C306-A306-TIME(8,0,0))*1440,1)</x:f>
        <x:v>343.7</x:v>
      </x:c>
    </x:row>
    <x:row r="307" ht="18" customHeight="1">
      <x:c r="A307" s="101" t="n">
        <x:v>46135</x:v>
      </x:c>
      <x:c r="B307" s="76" t="str">
        <x:v>P0306</x:v>
      </x:c>
      <x:c r="C307" s="107" t="n">
        <x:v>46135.57456516204</x:v>
      </x:c>
      <x:c r="D307" s="107" t="n">
        <x:v>46135.5897034838</x:v>
      </x:c>
      <x:c r="E307" s="107" t="n">
        <x:v>46135.59428681713</x:v>
      </x:c>
      <x:c r="F307" s="76" t="str">
        <x:v>registration</x:v>
      </x:c>
      <x:c r="G307" s="113" t="n">
        <x:f>ROUND((E307-D307)*1440,1)</x:f>
        <x:v>6.6</x:v>
      </x:c>
      <x:c r="H307" s="113" t="n">
        <x:f>ROUND((D307-C307)*1440,1)</x:f>
        <x:v>21.8</x:v>
      </x:c>
      <x:c r="I307" s="113" t="n">
        <x:f>ROUND((E307-C307)*1440,1)</x:f>
        <x:v>28.4</x:v>
      </x:c>
      <x:c r="J307" s="113" t="n">
        <x:f>IF(A307=A306,ROUND((C307-C306)*1440,1),0)</x:f>
        <x:v>3.7</x:v>
      </x:c>
      <x:c r="K307" s="76" t="str">
        <x:v>FrontDesk-01</x:v>
      </x:c>
      <x:c r="L307" s="113" t="n">
        <x:f>MAX(0,COUNTIFS($A$2:$A$401,A307,$C$2:$C$401,"&lt;"&amp;C307,$E$2:$E$401,"&gt;"&amp;C307)-1)</x:f>
        <x:v>3</x:v>
      </x:c>
      <x:c r="M307" s="113" t="n">
        <x:f>HOUR(C307)</x:f>
        <x:v>13</x:v>
      </x:c>
      <x:c r="N307" s="119" t="n">
        <x:f>ROUND((C307-A307-TIME(8,0,0))*1440,1)</x:f>
        <x:v>347.4</x:v>
      </x:c>
    </x:row>
    <x:row r="308" ht="18" customHeight="1">
      <x:c r="A308" s="101" t="n">
        <x:v>46135</x:v>
      </x:c>
      <x:c r="B308" s="76" t="str">
        <x:v>P0307</x:v>
      </x:c>
      <x:c r="C308" s="107" t="n">
        <x:v>46135.57512021991</x:v>
      </x:c>
      <x:c r="D308" s="107" t="n">
        <x:v>46135.59428681713</x:v>
      </x:c>
      <x:c r="E308" s="107" t="n">
        <x:v>46135.597689594906</x:v>
      </x:c>
      <x:c r="F308" s="76" t="str">
        <x:v>sample_submission</x:v>
      </x:c>
      <x:c r="G308" s="113" t="n">
        <x:f>ROUND((E308-D308)*1440,1)</x:f>
        <x:v>4.9</x:v>
      </x:c>
      <x:c r="H308" s="113" t="n">
        <x:f>ROUND((D308-C308)*1440,1)</x:f>
        <x:v>27.6</x:v>
      </x:c>
      <x:c r="I308" s="113" t="n">
        <x:f>ROUND((E308-C308)*1440,1)</x:f>
        <x:v>32.5</x:v>
      </x:c>
      <x:c r="J308" s="113" t="n">
        <x:f>IF(A308=A307,ROUND((C308-C307)*1440,1),0)</x:f>
        <x:v>0.8</x:v>
      </x:c>
      <x:c r="K308" s="76" t="str">
        <x:v>FrontDesk-01</x:v>
      </x:c>
      <x:c r="L308" s="113" t="n">
        <x:f>MAX(0,COUNTIFS($A$2:$A$401,A308,$C$2:$C$401,"&lt;"&amp;C308,$E$2:$E$401,"&gt;"&amp;C308)-1)</x:f>
        <x:v>4</x:v>
      </x:c>
      <x:c r="M308" s="113" t="n">
        <x:f>HOUR(C308)</x:f>
        <x:v>13</x:v>
      </x:c>
      <x:c r="N308" s="119" t="n">
        <x:f>ROUND((C308-A308-TIME(8,0,0))*1440,1)</x:f>
        <x:v>348.2</x:v>
      </x:c>
    </x:row>
    <x:row r="309" ht="18" customHeight="1">
      <x:c r="A309" s="101" t="n">
        <x:v>46135</x:v>
      </x:c>
      <x:c r="B309" s="76" t="str">
        <x:v>P0308</x:v>
      </x:c>
      <x:c r="C309" s="107" t="n">
        <x:v>46135.57912795139</x:v>
      </x:c>
      <x:c r="D309" s="107" t="n">
        <x:v>46135.597689594906</x:v>
      </x:c>
      <x:c r="E309" s="107" t="n">
        <x:v>46135.598800706015</x:v>
      </x:c>
      <x:c r="F309" s="76" t="str">
        <x:v>inquiry</x:v>
      </x:c>
      <x:c r="G309" s="113" t="n">
        <x:f>ROUND((E309-D309)*1440,1)</x:f>
        <x:v>1.6</x:v>
      </x:c>
      <x:c r="H309" s="113" t="n">
        <x:f>ROUND((D309-C309)*1440,1)</x:f>
        <x:v>26.7</x:v>
      </x:c>
      <x:c r="I309" s="113" t="n">
        <x:f>ROUND((E309-C309)*1440,1)</x:f>
        <x:v>28.3</x:v>
      </x:c>
      <x:c r="J309" s="113" t="n">
        <x:f>IF(A309=A308,ROUND((C309-C308)*1440,1),0)</x:f>
        <x:v>5.8</x:v>
      </x:c>
      <x:c r="K309" s="76" t="str">
        <x:v>FrontDesk-01</x:v>
      </x:c>
      <x:c r="L309" s="113" t="n">
        <x:f>MAX(0,COUNTIFS($A$2:$A$401,A309,$C$2:$C$401,"&lt;"&amp;C309,$E$2:$E$401,"&gt;"&amp;C309)-1)</x:f>
        <x:v>4</x:v>
      </x:c>
      <x:c r="M309" s="113" t="n">
        <x:f>HOUR(C309)</x:f>
        <x:v>13</x:v>
      </x:c>
      <x:c r="N309" s="119" t="n">
        <x:f>ROUND((C309-A309-TIME(8,0,0))*1440,1)</x:f>
        <x:v>353.9</x:v>
      </x:c>
    </x:row>
    <x:row r="310" ht="18" customHeight="1">
      <x:c r="A310" s="101" t="n">
        <x:v>46135</x:v>
      </x:c>
      <x:c r="B310" s="76" t="str">
        <x:v>P0309</x:v>
      </x:c>
      <x:c r="C310" s="107" t="n">
        <x:v>46135.57957459491</x:v>
      </x:c>
      <x:c r="D310" s="107" t="n">
        <x:v>46135.598800706015</x:v>
      </x:c>
      <x:c r="E310" s="107" t="n">
        <x:v>46135.60338403935</x:v>
      </x:c>
      <x:c r="F310" s="76" t="str">
        <x:v>report_collection</x:v>
      </x:c>
      <x:c r="G310" s="113" t="n">
        <x:f>ROUND((E310-D310)*1440,1)</x:f>
        <x:v>6.6</x:v>
      </x:c>
      <x:c r="H310" s="113" t="n">
        <x:f>ROUND((D310-C310)*1440,1)</x:f>
        <x:v>27.7</x:v>
      </x:c>
      <x:c r="I310" s="113" t="n">
        <x:f>ROUND((E310-C310)*1440,1)</x:f>
        <x:v>34.3</x:v>
      </x:c>
      <x:c r="J310" s="113" t="n">
        <x:f>IF(A310=A309,ROUND((C310-C309)*1440,1),0)</x:f>
        <x:v>0.6</x:v>
      </x:c>
      <x:c r="K310" s="76" t="str">
        <x:v>FrontDesk-01</x:v>
      </x:c>
      <x:c r="L310" s="113" t="n">
        <x:f>MAX(0,COUNTIFS($A$2:$A$401,A310,$C$2:$C$401,"&lt;"&amp;C310,$E$2:$E$401,"&gt;"&amp;C310)-1)</x:f>
        <x:v>5</x:v>
      </x:c>
      <x:c r="M310" s="113" t="n">
        <x:f>HOUR(C310)</x:f>
        <x:v>13</x:v>
      </x:c>
      <x:c r="N310" s="119" t="n">
        <x:f>ROUND((C310-A310-TIME(8,0,0))*1440,1)</x:f>
        <x:v>354.6</x:v>
      </x:c>
    </x:row>
    <x:row r="311" ht="18" customHeight="1">
      <x:c r="A311" s="101" t="n">
        <x:v>46135</x:v>
      </x:c>
      <x:c r="B311" s="76" t="str">
        <x:v>P0310</x:v>
      </x:c>
      <x:c r="C311" s="107" t="n">
        <x:v>46135.58220613426</x:v>
      </x:c>
      <x:c r="D311" s="107" t="n">
        <x:v>46135.60338403935</x:v>
      </x:c>
      <x:c r="E311" s="107" t="n">
        <x:v>46135.60685626158</x:v>
      </x:c>
      <x:c r="F311" s="76" t="str">
        <x:v>sample_submission</x:v>
      </x:c>
      <x:c r="G311" s="113" t="n">
        <x:f>ROUND((E311-D311)*1440,1)</x:f>
        <x:v>5</x:v>
      </x:c>
      <x:c r="H311" s="113" t="n">
        <x:f>ROUND((D311-C311)*1440,1)</x:f>
        <x:v>30.5</x:v>
      </x:c>
      <x:c r="I311" s="113" t="n">
        <x:f>ROUND((E311-C311)*1440,1)</x:f>
        <x:v>35.5</x:v>
      </x:c>
      <x:c r="J311" s="113" t="n">
        <x:f>IF(A311=A310,ROUND((C311-C310)*1440,1),0)</x:f>
        <x:v>3.8</x:v>
      </x:c>
      <x:c r="K311" s="76" t="str">
        <x:v>FrontDesk-01</x:v>
      </x:c>
      <x:c r="L311" s="113" t="n">
        <x:f>MAX(0,COUNTIFS($A$2:$A$401,A311,$C$2:$C$401,"&lt;"&amp;C311,$E$2:$E$401,"&gt;"&amp;C311)-1)</x:f>
        <x:v>6</x:v>
      </x:c>
      <x:c r="M311" s="113" t="n">
        <x:f>HOUR(C311)</x:f>
        <x:v>13</x:v>
      </x:c>
      <x:c r="N311" s="119" t="n">
        <x:f>ROUND((C311-A311-TIME(8,0,0))*1440,1)</x:f>
        <x:v>358.4</x:v>
      </x:c>
    </x:row>
    <x:row r="312" ht="18" customHeight="1">
      <x:c r="A312" s="101" t="n">
        <x:v>46135</x:v>
      </x:c>
      <x:c r="B312" s="76" t="str">
        <x:v>P0311</x:v>
      </x:c>
      <x:c r="C312" s="107" t="n">
        <x:v>46135.58766900463</x:v>
      </x:c>
      <x:c r="D312" s="107" t="n">
        <x:v>46135.60685626158</x:v>
      </x:c>
      <x:c r="E312" s="107" t="n">
        <x:v>46135.608384039355</x:v>
      </x:c>
      <x:c r="F312" s="76" t="str">
        <x:v>appointment_booking</x:v>
      </x:c>
      <x:c r="G312" s="113" t="n">
        <x:f>ROUND((E312-D312)*1440,1)</x:f>
        <x:v>2.2</x:v>
      </x:c>
      <x:c r="H312" s="113" t="n">
        <x:f>ROUND((D312-C312)*1440,1)</x:f>
        <x:v>27.6</x:v>
      </x:c>
      <x:c r="I312" s="113" t="n">
        <x:f>ROUND((E312-C312)*1440,1)</x:f>
        <x:v>29.8</x:v>
      </x:c>
      <x:c r="J312" s="113" t="n">
        <x:f>IF(A312=A311,ROUND((C312-C311)*1440,1),0)</x:f>
        <x:v>7.9</x:v>
      </x:c>
      <x:c r="K312" s="76" t="str">
        <x:v>FrontDesk-01</x:v>
      </x:c>
      <x:c r="L312" s="113" t="n">
        <x:f>MAX(0,COUNTIFS($A$2:$A$401,A312,$C$2:$C$401,"&lt;"&amp;C312,$E$2:$E$401,"&gt;"&amp;C312)-1)</x:f>
        <x:v>5</x:v>
      </x:c>
      <x:c r="M312" s="113" t="n">
        <x:f>HOUR(C312)</x:f>
        <x:v>14</x:v>
      </x:c>
      <x:c r="N312" s="119" t="n">
        <x:f>ROUND((C312-A312-TIME(8,0,0))*1440,1)</x:f>
        <x:v>366.2</x:v>
      </x:c>
    </x:row>
    <x:row r="313" ht="18" customHeight="1">
      <x:c r="A313" s="101" t="n">
        <x:v>46135</x:v>
      </x:c>
      <x:c r="B313" s="76" t="str">
        <x:v>P0312</x:v>
      </x:c>
      <x:c r="C313" s="107" t="n">
        <x:v>46135.593495127316</x:v>
      </x:c>
      <x:c r="D313" s="107" t="n">
        <x:v>46135.608384039355</x:v>
      </x:c>
      <x:c r="E313" s="107" t="n">
        <x:v>46135.61150903935</x:v>
      </x:c>
      <x:c r="F313" s="76" t="str">
        <x:v>sample_submission</x:v>
      </x:c>
      <x:c r="G313" s="113" t="n">
        <x:f>ROUND((E313-D313)*1440,1)</x:f>
        <x:v>4.5</x:v>
      </x:c>
      <x:c r="H313" s="113" t="n">
        <x:f>ROUND((D313-C313)*1440,1)</x:f>
        <x:v>21.4</x:v>
      </x:c>
      <x:c r="I313" s="113" t="n">
        <x:f>ROUND((E313-C313)*1440,1)</x:f>
        <x:v>25.9</x:v>
      </x:c>
      <x:c r="J313" s="113" t="n">
        <x:f>IF(A313=A312,ROUND((C313-C312)*1440,1),0)</x:f>
        <x:v>8.4</x:v>
      </x:c>
      <x:c r="K313" s="76" t="str">
        <x:v>FrontDesk-01</x:v>
      </x:c>
      <x:c r="L313" s="113" t="n">
        <x:f>MAX(0,COUNTIFS($A$2:$A$401,A313,$C$2:$C$401,"&lt;"&amp;C313,$E$2:$E$401,"&gt;"&amp;C313)-1)</x:f>
        <x:v>5</x:v>
      </x:c>
      <x:c r="M313" s="113" t="n">
        <x:f>HOUR(C313)</x:f>
        <x:v>14</x:v>
      </x:c>
      <x:c r="N313" s="119" t="n">
        <x:f>ROUND((C313-A313-TIME(8,0,0))*1440,1)</x:f>
        <x:v>374.6</x:v>
      </x:c>
    </x:row>
    <x:row r="314" ht="18" customHeight="1">
      <x:c r="A314" s="101" t="n">
        <x:v>46135</x:v>
      </x:c>
      <x:c r="B314" s="76" t="str">
        <x:v>P0313</x:v>
      </x:c>
      <x:c r="C314" s="107" t="n">
        <x:v>46135.60083149306</x:v>
      </x:c>
      <x:c r="D314" s="107" t="n">
        <x:v>46135.61150903935</x:v>
      </x:c>
      <x:c r="E314" s="107" t="n">
        <x:v>46135.61532848379</x:v>
      </x:c>
      <x:c r="F314" s="76" t="str">
        <x:v>registration</x:v>
      </x:c>
      <x:c r="G314" s="113" t="n">
        <x:f>ROUND((E314-D314)*1440,1)</x:f>
        <x:v>5.5</x:v>
      </x:c>
      <x:c r="H314" s="113" t="n">
        <x:f>ROUND((D314-C314)*1440,1)</x:f>
        <x:v>15.4</x:v>
      </x:c>
      <x:c r="I314" s="113" t="n">
        <x:f>ROUND((E314-C314)*1440,1)</x:f>
        <x:v>20.9</x:v>
      </x:c>
      <x:c r="J314" s="113" t="n">
        <x:f>IF(A314=A313,ROUND((C314-C313)*1440,1),0)</x:f>
        <x:v>10.6</x:v>
      </x:c>
      <x:c r="K314" s="76" t="str">
        <x:v>FrontDesk-01</x:v>
      </x:c>
      <x:c r="L314" s="113" t="n">
        <x:f>MAX(0,COUNTIFS($A$2:$A$401,A314,$C$2:$C$401,"&lt;"&amp;C314,$E$2:$E$401,"&gt;"&amp;C314)-1)</x:f>
        <x:v>3</x:v>
      </x:c>
      <x:c r="M314" s="113" t="n">
        <x:f>HOUR(C314)</x:f>
        <x:v>14</x:v>
      </x:c>
      <x:c r="N314" s="119" t="n">
        <x:f>ROUND((C314-A314-TIME(8,0,0))*1440,1)</x:f>
        <x:v>385.2</x:v>
      </x:c>
    </x:row>
    <x:row r="315" ht="18" customHeight="1">
      <x:c r="A315" s="101" t="n">
        <x:v>46135</x:v>
      </x:c>
      <x:c r="B315" s="76" t="str">
        <x:v>P0314</x:v>
      </x:c>
      <x:c r="C315" s="107" t="n">
        <x:v>46135.60286063657</x:v>
      </x:c>
      <x:c r="D315" s="107" t="n">
        <x:v>46135.61532848379</x:v>
      </x:c>
      <x:c r="E315" s="107" t="n">
        <x:v>46135.62178681713</x:v>
      </x:c>
      <x:c r="F315" s="76" t="str">
        <x:v>registration</x:v>
      </x:c>
      <x:c r="G315" s="113" t="n">
        <x:f>ROUND((E315-D315)*1440,1)</x:f>
        <x:v>9.3</x:v>
      </x:c>
      <x:c r="H315" s="113" t="n">
        <x:f>ROUND((D315-C315)*1440,1)</x:f>
        <x:v>18</x:v>
      </x:c>
      <x:c r="I315" s="113" t="n">
        <x:f>ROUND((E315-C315)*1440,1)</x:f>
        <x:v>27.3</x:v>
      </x:c>
      <x:c r="J315" s="113" t="n">
        <x:f>IF(A315=A314,ROUND((C315-C314)*1440,1),0)</x:f>
        <x:v>2.9</x:v>
      </x:c>
      <x:c r="K315" s="76" t="str">
        <x:v>FrontDesk-01</x:v>
      </x:c>
      <x:c r="L315" s="113" t="n">
        <x:f>MAX(0,COUNTIFS($A$2:$A$401,A315,$C$2:$C$401,"&lt;"&amp;C315,$E$2:$E$401,"&gt;"&amp;C315)-1)</x:f>
        <x:v>4</x:v>
      </x:c>
      <x:c r="M315" s="113" t="n">
        <x:f>HOUR(C315)</x:f>
        <x:v>14</x:v>
      </x:c>
      <x:c r="N315" s="119" t="n">
        <x:f>ROUND((C315-A315-TIME(8,0,0))*1440,1)</x:f>
        <x:v>388.1</x:v>
      </x:c>
    </x:row>
    <x:row r="316" ht="18" customHeight="1">
      <x:c r="A316" s="101" t="n">
        <x:v>46135</x:v>
      </x:c>
      <x:c r="B316" s="76" t="str">
        <x:v>P0315</x:v>
      </x:c>
      <x:c r="C316" s="107" t="n">
        <x:v>46135.61181822917</x:v>
      </x:c>
      <x:c r="D316" s="107" t="n">
        <x:v>46135.62178681713</x:v>
      </x:c>
      <x:c r="E316" s="107" t="n">
        <x:v>46135.623384039354</x:v>
      </x:c>
      <x:c r="F316" s="76" t="str">
        <x:v>inquiry</x:v>
      </x:c>
      <x:c r="G316" s="113" t="n">
        <x:f>ROUND((E316-D316)*1440,1)</x:f>
        <x:v>2.3</x:v>
      </x:c>
      <x:c r="H316" s="113" t="n">
        <x:f>ROUND((D316-C316)*1440,1)</x:f>
        <x:v>14.4</x:v>
      </x:c>
      <x:c r="I316" s="113" t="n">
        <x:f>ROUND((E316-C316)*1440,1)</x:f>
        <x:v>16.7</x:v>
      </x:c>
      <x:c r="J316" s="113" t="n">
        <x:f>IF(A316=A315,ROUND((C316-C315)*1440,1),0)</x:f>
        <x:v>12.9</x:v>
      </x:c>
      <x:c r="K316" s="76" t="str">
        <x:v>FrontDesk-01</x:v>
      </x:c>
      <x:c r="L316" s="113" t="n">
        <x:f>MAX(0,COUNTIFS($A$2:$A$401,A316,$C$2:$C$401,"&lt;"&amp;C316,$E$2:$E$401,"&gt;"&amp;C316)-1)</x:f>
        <x:v>1</x:v>
      </x:c>
      <x:c r="M316" s="113" t="n">
        <x:f>HOUR(C316)</x:f>
        <x:v>14</x:v>
      </x:c>
      <x:c r="N316" s="119" t="n">
        <x:f>ROUND((C316-A316-TIME(8,0,0))*1440,1)</x:f>
        <x:v>401</x:v>
      </x:c>
    </x:row>
    <x:row r="317" ht="18" customHeight="1">
      <x:c r="A317" s="101" t="n">
        <x:v>46135</x:v>
      </x:c>
      <x:c r="B317" s="76" t="str">
        <x:v>P0316</x:v>
      </x:c>
      <x:c r="C317" s="107" t="n">
        <x:v>46135.61859770834</x:v>
      </x:c>
      <x:c r="D317" s="107" t="n">
        <x:v>46135.623384039354</x:v>
      </x:c>
      <x:c r="E317" s="107" t="n">
        <x:v>46135.62602292824</x:v>
      </x:c>
      <x:c r="F317" s="76" t="str">
        <x:v>registration</x:v>
      </x:c>
      <x:c r="G317" s="113" t="n">
        <x:f>ROUND((E317-D317)*1440,1)</x:f>
        <x:v>3.8</x:v>
      </x:c>
      <x:c r="H317" s="113" t="n">
        <x:f>ROUND((D317-C317)*1440,1)</x:f>
        <x:v>6.9</x:v>
      </x:c>
      <x:c r="I317" s="113" t="n">
        <x:f>ROUND((E317-C317)*1440,1)</x:f>
        <x:v>10.7</x:v>
      </x:c>
      <x:c r="J317" s="113" t="n">
        <x:f>IF(A317=A316,ROUND((C317-C316)*1440,1),0)</x:f>
        <x:v>9.8</x:v>
      </x:c>
      <x:c r="K317" s="76" t="str">
        <x:v>FrontDesk-01</x:v>
      </x:c>
      <x:c r="L317" s="113" t="n">
        <x:f>MAX(0,COUNTIFS($A$2:$A$401,A317,$C$2:$C$401,"&lt;"&amp;C317,$E$2:$E$401,"&gt;"&amp;C317)-1)</x:f>
        <x:v>1</x:v>
      </x:c>
      <x:c r="M317" s="113" t="n">
        <x:f>HOUR(C317)</x:f>
        <x:v>14</x:v>
      </x:c>
      <x:c r="N317" s="119" t="n">
        <x:f>ROUND((C317-A317-TIME(8,0,0))*1440,1)</x:f>
        <x:v>410.8</x:v>
      </x:c>
    </x:row>
    <x:row r="318" ht="18" customHeight="1">
      <x:c r="A318" s="101" t="n">
        <x:v>46135</x:v>
      </x:c>
      <x:c r="B318" s="76" t="str">
        <x:v>P0317</x:v>
      </x:c>
      <x:c r="C318" s="107" t="n">
        <x:v>46135.62599450231</x:v>
      </x:c>
      <x:c r="D318" s="107" t="n">
        <x:v>46135.62602292824</x:v>
      </x:c>
      <x:c r="E318" s="107" t="n">
        <x:v>46135.62900903935</x:v>
      </x:c>
      <x:c r="F318" s="76" t="str">
        <x:v>sample_submission</x:v>
      </x:c>
      <x:c r="G318" s="113" t="n">
        <x:f>ROUND((E318-D318)*1440,1)</x:f>
        <x:v>4.3</x:v>
      </x:c>
      <x:c r="H318" s="113" t="n">
        <x:f>ROUND((D318-C318)*1440,1)</x:f>
        <x:v>0</x:v>
      </x:c>
      <x:c r="I318" s="113" t="n">
        <x:f>ROUND((E318-C318)*1440,1)</x:f>
        <x:v>4.3</x:v>
      </x:c>
      <x:c r="J318" s="113" t="n">
        <x:f>IF(A318=A317,ROUND((C318-C317)*1440,1),0)</x:f>
        <x:v>10.7</x:v>
      </x:c>
      <x:c r="K318" s="76" t="str">
        <x:v>FrontDesk-01</x:v>
      </x:c>
      <x:c r="L318" s="113" t="n">
        <x:f>MAX(0,COUNTIFS($A$2:$A$401,A318,$C$2:$C$401,"&lt;"&amp;C318,$E$2:$E$401,"&gt;"&amp;C318)-1)</x:f>
        <x:v>0</x:v>
      </x:c>
      <x:c r="M318" s="113" t="n">
        <x:f>HOUR(C318)</x:f>
        <x:v>15</x:v>
      </x:c>
      <x:c r="N318" s="119" t="n">
        <x:f>ROUND((C318-A318-TIME(8,0,0))*1440,1)</x:f>
        <x:v>421.4</x:v>
      </x:c>
    </x:row>
    <x:row r="319" ht="18" customHeight="1">
      <x:c r="A319" s="101" t="n">
        <x:v>46135</x:v>
      </x:c>
      <x:c r="B319" s="76" t="str">
        <x:v>P0318</x:v>
      </x:c>
      <x:c r="C319" s="107" t="n">
        <x:v>46135.635377060185</x:v>
      </x:c>
      <x:c r="D319" s="107" t="n">
        <x:v>46135.635377060185</x:v>
      </x:c>
      <x:c r="E319" s="107" t="n">
        <x:v>46135.63891872685</x:v>
      </x:c>
      <x:c r="F319" s="76" t="str">
        <x:v>sample_submission</x:v>
      </x:c>
      <x:c r="G319" s="113" t="n">
        <x:f>ROUND((E319-D319)*1440,1)</x:f>
        <x:v>5.1</x:v>
      </x:c>
      <x:c r="H319" s="113" t="n">
        <x:f>ROUND((D319-C319)*1440,1)</x:f>
        <x:v>0</x:v>
      </x:c>
      <x:c r="I319" s="113" t="n">
        <x:f>ROUND((E319-C319)*1440,1)</x:f>
        <x:v>5.1</x:v>
      </x:c>
      <x:c r="J319" s="113" t="n">
        <x:f>IF(A319=A318,ROUND((C319-C318)*1440,1),0)</x:f>
        <x:v>13.5</x:v>
      </x:c>
      <x:c r="K319" s="76" t="str">
        <x:v>FrontDesk-01</x:v>
      </x:c>
      <x:c r="L319" s="113" t="n">
        <x:f>MAX(0,COUNTIFS($A$2:$A$401,A319,$C$2:$C$401,"&lt;"&amp;C319,$E$2:$E$401,"&gt;"&amp;C319)-1)</x:f>
        <x:v>0</x:v>
      </x:c>
      <x:c r="M319" s="113" t="n">
        <x:f>HOUR(C319)</x:f>
        <x:v>15</x:v>
      </x:c>
      <x:c r="N319" s="119" t="n">
        <x:f>ROUND((C319-A319-TIME(8,0,0))*1440,1)</x:f>
        <x:v>434.9</x:v>
      </x:c>
    </x:row>
    <x:row r="320" ht="18" customHeight="1">
      <x:c r="A320" s="101" t="n">
        <x:v>46135</x:v>
      </x:c>
      <x:c r="B320" s="76" t="str">
        <x:v>P0319</x:v>
      </x:c>
      <x:c r="C320" s="107" t="n">
        <x:v>46135.638969583335</x:v>
      </x:c>
      <x:c r="D320" s="107" t="n">
        <x:v>46135.638969583335</x:v>
      </x:c>
      <x:c r="E320" s="107" t="n">
        <x:v>46135.64265013889</x:v>
      </x:c>
      <x:c r="F320" s="76" t="str">
        <x:v>registration</x:v>
      </x:c>
      <x:c r="G320" s="113" t="n">
        <x:f>ROUND((E320-D320)*1440,1)</x:f>
        <x:v>5.3</x:v>
      </x:c>
      <x:c r="H320" s="113" t="n">
        <x:f>ROUND((D320-C320)*1440,1)</x:f>
        <x:v>0</x:v>
      </x:c>
      <x:c r="I320" s="113" t="n">
        <x:f>ROUND((E320-C320)*1440,1)</x:f>
        <x:v>5.3</x:v>
      </x:c>
      <x:c r="J320" s="113" t="n">
        <x:f>IF(A320=A319,ROUND((C320-C319)*1440,1),0)</x:f>
        <x:v>5.2</x:v>
      </x:c>
      <x:c r="K320" s="76" t="str">
        <x:v>FrontDesk-01</x:v>
      </x:c>
      <x:c r="L320" s="113" t="n">
        <x:f>MAX(0,COUNTIFS($A$2:$A$401,A320,$C$2:$C$401,"&lt;"&amp;C320,$E$2:$E$401,"&gt;"&amp;C320)-1)</x:f>
        <x:v>0</x:v>
      </x:c>
      <x:c r="M320" s="113" t="n">
        <x:f>HOUR(C320)</x:f>
        <x:v>15</x:v>
      </x:c>
      <x:c r="N320" s="119" t="n">
        <x:f>ROUND((C320-A320-TIME(8,0,0))*1440,1)</x:f>
        <x:v>440.1</x:v>
      </x:c>
    </x:row>
    <x:row r="321" ht="18" customHeight="1">
      <x:c r="A321" s="101" t="n">
        <x:v>46135</x:v>
      </x:c>
      <x:c r="B321" s="76" t="str">
        <x:v>P0320</x:v>
      </x:c>
      <x:c r="C321" s="107" t="n">
        <x:v>46135.66347611111</x:v>
      </x:c>
      <x:c r="D321" s="107" t="n">
        <x:v>46135.66347611111</x:v>
      </x:c>
      <x:c r="E321" s="107" t="n">
        <x:v>46135.66694833333</x:v>
      </x:c>
      <x:c r="F321" s="76" t="str">
        <x:v>sample_submission</x:v>
      </x:c>
      <x:c r="G321" s="113" t="n">
        <x:f>ROUND((E321-D321)*1440,1)</x:f>
        <x:v>5</x:v>
      </x:c>
      <x:c r="H321" s="113" t="n">
        <x:f>ROUND((D321-C321)*1440,1)</x:f>
        <x:v>0</x:v>
      </x:c>
      <x:c r="I321" s="113" t="n">
        <x:f>ROUND((E321-C321)*1440,1)</x:f>
        <x:v>5</x:v>
      </x:c>
      <x:c r="J321" s="113" t="n">
        <x:f>IF(A321=A320,ROUND((C321-C320)*1440,1),0)</x:f>
        <x:v>35.3</x:v>
      </x:c>
      <x:c r="K321" s="76" t="str">
        <x:v>FrontDesk-01</x:v>
      </x:c>
      <x:c r="L321" s="113" t="n">
        <x:f>MAX(0,COUNTIFS($A$2:$A$401,A321,$C$2:$C$401,"&lt;"&amp;C321,$E$2:$E$401,"&gt;"&amp;C321)-1)</x:f>
        <x:v>0</x:v>
      </x:c>
      <x:c r="M321" s="113" t="n">
        <x:f>HOUR(C321)</x:f>
        <x:v>15</x:v>
      </x:c>
      <x:c r="N321" s="119" t="n">
        <x:f>ROUND((C321-A321-TIME(8,0,0))*1440,1)</x:f>
        <x:v>475.4</x:v>
      </x:c>
    </x:row>
    <x:row r="322" ht="18" customHeight="1">
      <x:c r="A322" s="101" t="n">
        <x:v>46136</x:v>
      </x:c>
      <x:c r="B322" s="76" t="str">
        <x:v>P0321</x:v>
      </x:c>
      <x:c r="C322" s="107" t="n">
        <x:v>46136.33370170139</x:v>
      </x:c>
      <x:c r="D322" s="107" t="n">
        <x:v>46136.33370170139</x:v>
      </x:c>
      <x:c r="E322" s="107" t="n">
        <x:v>46136.335993368055</x:v>
      </x:c>
      <x:c r="F322" s="76" t="str">
        <x:v>billing_payment</x:v>
      </x:c>
      <x:c r="G322" s="113" t="n">
        <x:f>ROUND((E322-D322)*1440,1)</x:f>
        <x:v>3.3</x:v>
      </x:c>
      <x:c r="H322" s="113" t="n">
        <x:f>ROUND((D322-C322)*1440,1)</x:f>
        <x:v>0</x:v>
      </x:c>
      <x:c r="I322" s="113" t="n">
        <x:f>ROUND((E322-C322)*1440,1)</x:f>
        <x:v>3.3</x:v>
      </x:c>
      <x:c r="J322" s="113" t="n">
        <x:f>IF(A322=A321,ROUND((C322-C321)*1440,1),0)</x:f>
        <x:v>0</x:v>
      </x:c>
      <x:c r="K322" s="76" t="str">
        <x:v>FrontDesk-01</x:v>
      </x:c>
      <x:c r="L322" s="113" t="n">
        <x:f>MAX(0,COUNTIFS($A$2:$A$401,A322,$C$2:$C$401,"&lt;"&amp;C322,$E$2:$E$401,"&gt;"&amp;C322)-1)</x:f>
        <x:v>0</x:v>
      </x:c>
      <x:c r="M322" s="113" t="n">
        <x:f>HOUR(C322)</x:f>
        <x:v>8</x:v>
      </x:c>
      <x:c r="N322" s="119" t="n">
        <x:f>ROUND((C322-A322-TIME(8,0,0))*1440,1)</x:f>
        <x:v>0.5</x:v>
      </x:c>
    </x:row>
    <x:row r="323" ht="18" customHeight="1">
      <x:c r="A323" s="101" t="n">
        <x:v>46136</x:v>
      </x:c>
      <x:c r="B323" s="76" t="str">
        <x:v>P0322</x:v>
      </x:c>
      <x:c r="C323" s="107" t="n">
        <x:v>46136.34303505787</x:v>
      </x:c>
      <x:c r="D323" s="107" t="n">
        <x:v>46136.34303505787</x:v>
      </x:c>
      <x:c r="E323" s="107" t="n">
        <x:v>46136.347479502314</x:v>
      </x:c>
      <x:c r="F323" s="76" t="str">
        <x:v>registration</x:v>
      </x:c>
      <x:c r="G323" s="113" t="n">
        <x:f>ROUND((E323-D323)*1440,1)</x:f>
        <x:v>6.4</x:v>
      </x:c>
      <x:c r="H323" s="113" t="n">
        <x:f>ROUND((D323-C323)*1440,1)</x:f>
        <x:v>0</x:v>
      </x:c>
      <x:c r="I323" s="113" t="n">
        <x:f>ROUND((E323-C323)*1440,1)</x:f>
        <x:v>6.4</x:v>
      </x:c>
      <x:c r="J323" s="113" t="n">
        <x:f>IF(A323=A322,ROUND((C323-C322)*1440,1),0)</x:f>
        <x:v>13.4</x:v>
      </x:c>
      <x:c r="K323" s="76" t="str">
        <x:v>FrontDesk-01</x:v>
      </x:c>
      <x:c r="L323" s="113" t="n">
        <x:f>MAX(0,COUNTIFS($A$2:$A$401,A323,$C$2:$C$401,"&lt;"&amp;C323,$E$2:$E$401,"&gt;"&amp;C323)-1)</x:f>
        <x:v>0</x:v>
      </x:c>
      <x:c r="M323" s="113" t="n">
        <x:f>HOUR(C323)</x:f>
        <x:v>8</x:v>
      </x:c>
      <x:c r="N323" s="119" t="n">
        <x:f>ROUND((C323-A323-TIME(8,0,0))*1440,1)</x:f>
        <x:v>14</x:v>
      </x:c>
    </x:row>
    <x:row r="324" ht="18" customHeight="1">
      <x:c r="A324" s="101" t="n">
        <x:v>46136</x:v>
      </x:c>
      <x:c r="B324" s="76" t="str">
        <x:v>P0323</x:v>
      </x:c>
      <x:c r="C324" s="107" t="n">
        <x:v>46136.34535836805</x:v>
      </x:c>
      <x:c r="D324" s="107" t="n">
        <x:v>46136.347479502314</x:v>
      </x:c>
      <x:c r="E324" s="107" t="n">
        <x:v>46136.349354502316</x:v>
      </x:c>
      <x:c r="F324" s="76" t="str">
        <x:v>report_collection</x:v>
      </x:c>
      <x:c r="G324" s="113" t="n">
        <x:f>ROUND((E324-D324)*1440,1)</x:f>
        <x:v>2.7</x:v>
      </x:c>
      <x:c r="H324" s="113" t="n">
        <x:f>ROUND((D324-C324)*1440,1)</x:f>
        <x:v>3.1</x:v>
      </x:c>
      <x:c r="I324" s="113" t="n">
        <x:f>ROUND((E324-C324)*1440,1)</x:f>
        <x:v>5.8</x:v>
      </x:c>
      <x:c r="J324" s="113" t="n">
        <x:f>IF(A324=A323,ROUND((C324-C323)*1440,1),0)</x:f>
        <x:v>3.3</x:v>
      </x:c>
      <x:c r="K324" s="76" t="str">
        <x:v>FrontDesk-01</x:v>
      </x:c>
      <x:c r="L324" s="113" t="n">
        <x:f>MAX(0,COUNTIFS($A$2:$A$401,A324,$C$2:$C$401,"&lt;"&amp;C324,$E$2:$E$401,"&gt;"&amp;C324)-1)</x:f>
        <x:v>0</x:v>
      </x:c>
      <x:c r="M324" s="113" t="n">
        <x:f>HOUR(C324)</x:f>
        <x:v>8</x:v>
      </x:c>
      <x:c r="N324" s="119" t="n">
        <x:f>ROUND((C324-A324-TIME(8,0,0))*1440,1)</x:f>
        <x:v>17.3</x:v>
      </x:c>
    </x:row>
    <x:row r="325" ht="18" customHeight="1">
      <x:c r="A325" s="101" t="n">
        <x:v>46136</x:v>
      </x:c>
      <x:c r="B325" s="76" t="str">
        <x:v>P0324</x:v>
      </x:c>
      <x:c r="C325" s="107" t="n">
        <x:v>46136.34608678241</x:v>
      </x:c>
      <x:c r="D325" s="107" t="n">
        <x:v>46136.349354502316</x:v>
      </x:c>
      <x:c r="E325" s="107" t="n">
        <x:v>46136.350673946756</x:v>
      </x:c>
      <x:c r="F325" s="76" t="str">
        <x:v>report_collection</x:v>
      </x:c>
      <x:c r="G325" s="113" t="n">
        <x:f>ROUND((E325-D325)*1440,1)</x:f>
        <x:v>1.9</x:v>
      </x:c>
      <x:c r="H325" s="113" t="n">
        <x:f>ROUND((D325-C325)*1440,1)</x:f>
        <x:v>4.7</x:v>
      </x:c>
      <x:c r="I325" s="113" t="n">
        <x:f>ROUND((E325-C325)*1440,1)</x:f>
        <x:v>6.6</x:v>
      </x:c>
      <x:c r="J325" s="113" t="n">
        <x:f>IF(A325=A324,ROUND((C325-C324)*1440,1),0)</x:f>
        <x:v>1</x:v>
      </x:c>
      <x:c r="K325" s="76" t="str">
        <x:v>FrontDesk-01</x:v>
      </x:c>
      <x:c r="L325" s="113" t="n">
        <x:f>MAX(0,COUNTIFS($A$2:$A$401,A325,$C$2:$C$401,"&lt;"&amp;C325,$E$2:$E$401,"&gt;"&amp;C325)-1)</x:f>
        <x:v>1</x:v>
      </x:c>
      <x:c r="M325" s="113" t="n">
        <x:f>HOUR(C325)</x:f>
        <x:v>8</x:v>
      </x:c>
      <x:c r="N325" s="119" t="n">
        <x:f>ROUND((C325-A325-TIME(8,0,0))*1440,1)</x:f>
        <x:v>18.4</x:v>
      </x:c>
    </x:row>
    <x:row r="326" ht="18" customHeight="1">
      <x:c r="A326" s="101" t="n">
        <x:v>46136</x:v>
      </x:c>
      <x:c r="B326" s="76" t="str">
        <x:v>P0325</x:v>
      </x:c>
      <x:c r="C326" s="107" t="n">
        <x:v>46136.34637368056</x:v>
      </x:c>
      <x:c r="D326" s="107" t="n">
        <x:v>46136.350673946756</x:v>
      </x:c>
      <x:c r="E326" s="107" t="n">
        <x:v>46136.3519933912</x:v>
      </x:c>
      <x:c r="F326" s="76" t="str">
        <x:v>report_collection</x:v>
      </x:c>
      <x:c r="G326" s="113" t="n">
        <x:f>ROUND((E326-D326)*1440,1)</x:f>
        <x:v>1.9</x:v>
      </x:c>
      <x:c r="H326" s="113" t="n">
        <x:f>ROUND((D326-C326)*1440,1)</x:f>
        <x:v>6.2</x:v>
      </x:c>
      <x:c r="I326" s="113" t="n">
        <x:f>ROUND((E326-C326)*1440,1)</x:f>
        <x:v>8.1</x:v>
      </x:c>
      <x:c r="J326" s="113" t="n">
        <x:f>IF(A326=A325,ROUND((C326-C325)*1440,1),0)</x:f>
        <x:v>0.4</x:v>
      </x:c>
      <x:c r="K326" s="76" t="str">
        <x:v>FrontDesk-01</x:v>
      </x:c>
      <x:c r="L326" s="113" t="n">
        <x:f>MAX(0,COUNTIFS($A$2:$A$401,A326,$C$2:$C$401,"&lt;"&amp;C326,$E$2:$E$401,"&gt;"&amp;C326)-1)</x:f>
        <x:v>2</x:v>
      </x:c>
      <x:c r="M326" s="113" t="n">
        <x:f>HOUR(C326)</x:f>
        <x:v>8</x:v>
      </x:c>
      <x:c r="N326" s="119" t="n">
        <x:f>ROUND((C326-A326-TIME(8,0,0))*1440,1)</x:f>
        <x:v>18.8</x:v>
      </x:c>
    </x:row>
    <x:row r="327" ht="18" customHeight="1">
      <x:c r="A327" s="101" t="n">
        <x:v>46136</x:v>
      </x:c>
      <x:c r="B327" s="76" t="str">
        <x:v>P0326</x:v>
      </x:c>
      <x:c r="C327" s="107" t="n">
        <x:v>46136.34878201389</x:v>
      </x:c>
      <x:c r="D327" s="107" t="n">
        <x:v>46136.3519933912</x:v>
      </x:c>
      <x:c r="E327" s="107" t="n">
        <x:v>46136.355118391206</x:v>
      </x:c>
      <x:c r="F327" s="76" t="str">
        <x:v>registration</x:v>
      </x:c>
      <x:c r="G327" s="113" t="n">
        <x:f>ROUND((E327-D327)*1440,1)</x:f>
        <x:v>4.5</x:v>
      </x:c>
      <x:c r="H327" s="113" t="n">
        <x:f>ROUND((D327-C327)*1440,1)</x:f>
        <x:v>4.6</x:v>
      </x:c>
      <x:c r="I327" s="113" t="n">
        <x:f>ROUND((E327-C327)*1440,1)</x:f>
        <x:v>9.1</x:v>
      </x:c>
      <x:c r="J327" s="113" t="n">
        <x:f>IF(A327=A326,ROUND((C327-C326)*1440,1),0)</x:f>
        <x:v>3.5</x:v>
      </x:c>
      <x:c r="K327" s="76" t="str">
        <x:v>FrontDesk-01</x:v>
      </x:c>
      <x:c r="L327" s="113" t="n">
        <x:f>MAX(0,COUNTIFS($A$2:$A$401,A327,$C$2:$C$401,"&lt;"&amp;C327,$E$2:$E$401,"&gt;"&amp;C327)-1)</x:f>
        <x:v>2</x:v>
      </x:c>
      <x:c r="M327" s="113" t="n">
        <x:f>HOUR(C327)</x:f>
        <x:v>8</x:v>
      </x:c>
      <x:c r="N327" s="119" t="n">
        <x:f>ROUND((C327-A327-TIME(8,0,0))*1440,1)</x:f>
        <x:v>22.2</x:v>
      </x:c>
    </x:row>
    <x:row r="328" ht="18" customHeight="1">
      <x:c r="A328" s="101" t="n">
        <x:v>46136</x:v>
      </x:c>
      <x:c r="B328" s="76" t="str">
        <x:v>P0327</x:v>
      </x:c>
      <x:c r="C328" s="107" t="n">
        <x:v>46136.353416655096</x:v>
      </x:c>
      <x:c r="D328" s="107" t="n">
        <x:v>46136.355118391206</x:v>
      </x:c>
      <x:c r="E328" s="107" t="n">
        <x:v>46136.35872950232</x:v>
      </x:c>
      <x:c r="F328" s="76" t="str">
        <x:v>sample_submission</x:v>
      </x:c>
      <x:c r="G328" s="113" t="n">
        <x:f>ROUND((E328-D328)*1440,1)</x:f>
        <x:v>5.2</x:v>
      </x:c>
      <x:c r="H328" s="113" t="n">
        <x:f>ROUND((D328-C328)*1440,1)</x:f>
        <x:v>2.5</x:v>
      </x:c>
      <x:c r="I328" s="113" t="n">
        <x:f>ROUND((E328-C328)*1440,1)</x:f>
        <x:v>7.7</x:v>
      </x:c>
      <x:c r="J328" s="113" t="n">
        <x:f>IF(A328=A327,ROUND((C328-C327)*1440,1),0)</x:f>
        <x:v>6.7</x:v>
      </x:c>
      <x:c r="K328" s="76" t="str">
        <x:v>FrontDesk-01</x:v>
      </x:c>
      <x:c r="L328" s="113" t="n">
        <x:f>MAX(0,COUNTIFS($A$2:$A$401,A328,$C$2:$C$401,"&lt;"&amp;C328,$E$2:$E$401,"&gt;"&amp;C328)-1)</x:f>
        <x:v>0</x:v>
      </x:c>
      <x:c r="M328" s="113" t="n">
        <x:f>HOUR(C328)</x:f>
        <x:v>8</x:v>
      </x:c>
      <x:c r="N328" s="119" t="n">
        <x:f>ROUND((C328-A328-TIME(8,0,0))*1440,1)</x:f>
        <x:v>28.9</x:v>
      </x:c>
    </x:row>
    <x:row r="329" ht="18" customHeight="1">
      <x:c r="A329" s="101" t="n">
        <x:v>46136</x:v>
      </x:c>
      <x:c r="B329" s="76" t="str">
        <x:v>P0328</x:v>
      </x:c>
      <x:c r="C329" s="107" t="n">
        <x:v>46136.364547337966</x:v>
      </x:c>
      <x:c r="D329" s="107" t="n">
        <x:v>46136.364547337966</x:v>
      </x:c>
      <x:c r="E329" s="107" t="n">
        <x:v>46136.36808900463</x:v>
      </x:c>
      <x:c r="F329" s="76" t="str">
        <x:v>billing_payment</x:v>
      </x:c>
      <x:c r="G329" s="113" t="n">
        <x:f>ROUND((E329-D329)*1440,1)</x:f>
        <x:v>5.1</x:v>
      </x:c>
      <x:c r="H329" s="113" t="n">
        <x:f>ROUND((D329-C329)*1440,1)</x:f>
        <x:v>0</x:v>
      </x:c>
      <x:c r="I329" s="113" t="n">
        <x:f>ROUND((E329-C329)*1440,1)</x:f>
        <x:v>5.1</x:v>
      </x:c>
      <x:c r="J329" s="113" t="n">
        <x:f>IF(A329=A328,ROUND((C329-C328)*1440,1),0)</x:f>
        <x:v>16</x:v>
      </x:c>
      <x:c r="K329" s="76" t="str">
        <x:v>FrontDesk-01</x:v>
      </x:c>
      <x:c r="L329" s="113" t="n">
        <x:f>MAX(0,COUNTIFS($A$2:$A$401,A329,$C$2:$C$401,"&lt;"&amp;C329,$E$2:$E$401,"&gt;"&amp;C329)-1)</x:f>
        <x:v>0</x:v>
      </x:c>
      <x:c r="M329" s="113" t="n">
        <x:f>HOUR(C329)</x:f>
        <x:v>8</x:v>
      </x:c>
      <x:c r="N329" s="119" t="n">
        <x:f>ROUND((C329-A329-TIME(8,0,0))*1440,1)</x:f>
        <x:v>44.9</x:v>
      </x:c>
    </x:row>
    <x:row r="330" ht="18" customHeight="1">
      <x:c r="A330" s="101" t="n">
        <x:v>46136</x:v>
      </x:c>
      <x:c r="B330" s="76" t="str">
        <x:v>P0329</x:v>
      </x:c>
      <x:c r="C330" s="107" t="n">
        <x:v>46136.365583935185</x:v>
      </x:c>
      <x:c r="D330" s="107" t="n">
        <x:v>46136.36808900463</x:v>
      </x:c>
      <x:c r="E330" s="107" t="n">
        <x:v>46136.37246400463</x:v>
      </x:c>
      <x:c r="F330" s="76" t="str">
        <x:v>registration</x:v>
      </x:c>
      <x:c r="G330" s="113" t="n">
        <x:f>ROUND((E330-D330)*1440,1)</x:f>
        <x:v>6.3</x:v>
      </x:c>
      <x:c r="H330" s="113" t="n">
        <x:f>ROUND((D330-C330)*1440,1)</x:f>
        <x:v>3.6</x:v>
      </x:c>
      <x:c r="I330" s="113" t="n">
        <x:f>ROUND((E330-C330)*1440,1)</x:f>
        <x:v>9.9</x:v>
      </x:c>
      <x:c r="J330" s="113" t="n">
        <x:f>IF(A330=A329,ROUND((C330-C329)*1440,1),0)</x:f>
        <x:v>1.5</x:v>
      </x:c>
      <x:c r="K330" s="76" t="str">
        <x:v>FrontDesk-01</x:v>
      </x:c>
      <x:c r="L330" s="113" t="n">
        <x:f>MAX(0,COUNTIFS($A$2:$A$401,A330,$C$2:$C$401,"&lt;"&amp;C330,$E$2:$E$401,"&gt;"&amp;C330)-1)</x:f>
        <x:v>0</x:v>
      </x:c>
      <x:c r="M330" s="113" t="n">
        <x:f>HOUR(C330)</x:f>
        <x:v>8</x:v>
      </x:c>
      <x:c r="N330" s="119" t="n">
        <x:f>ROUND((C330-A330-TIME(8,0,0))*1440,1)</x:f>
        <x:v>46.4</x:v>
      </x:c>
    </x:row>
    <x:row r="331" ht="18" customHeight="1">
      <x:c r="A331" s="101" t="n">
        <x:v>46136</x:v>
      </x:c>
      <x:c r="B331" s="76" t="str">
        <x:v>P0330</x:v>
      </x:c>
      <x:c r="C331" s="107" t="n">
        <x:v>46136.36613122685</x:v>
      </x:c>
      <x:c r="D331" s="107" t="n">
        <x:v>46136.37246400463</x:v>
      </x:c>
      <x:c r="E331" s="107" t="n">
        <x:v>46136.37447789352</x:v>
      </x:c>
      <x:c r="F331" s="76" t="str">
        <x:v>report_collection</x:v>
      </x:c>
      <x:c r="G331" s="113" t="n">
        <x:f>ROUND((E331-D331)*1440,1)</x:f>
        <x:v>2.9</x:v>
      </x:c>
      <x:c r="H331" s="113" t="n">
        <x:f>ROUND((D331-C331)*1440,1)</x:f>
        <x:v>9.1</x:v>
      </x:c>
      <x:c r="I331" s="113" t="n">
        <x:f>ROUND((E331-C331)*1440,1)</x:f>
        <x:v>12</x:v>
      </x:c>
      <x:c r="J331" s="113" t="n">
        <x:f>IF(A331=A330,ROUND((C331-C330)*1440,1),0)</x:f>
        <x:v>0.8</x:v>
      </x:c>
      <x:c r="K331" s="76" t="str">
        <x:v>FrontDesk-01</x:v>
      </x:c>
      <x:c r="L331" s="113" t="n">
        <x:f>MAX(0,COUNTIFS($A$2:$A$401,A331,$C$2:$C$401,"&lt;"&amp;C331,$E$2:$E$401,"&gt;"&amp;C331)-1)</x:f>
        <x:v>1</x:v>
      </x:c>
      <x:c r="M331" s="113" t="n">
        <x:f>HOUR(C331)</x:f>
        <x:v>8</x:v>
      </x:c>
      <x:c r="N331" s="119" t="n">
        <x:f>ROUND((C331-A331-TIME(8,0,0))*1440,1)</x:f>
        <x:v>47.2</x:v>
      </x:c>
    </x:row>
    <x:row r="332" ht="18" customHeight="1">
      <x:c r="A332" s="101" t="n">
        <x:v>46136</x:v>
      </x:c>
      <x:c r="B332" s="76" t="str">
        <x:v>P0331</x:v>
      </x:c>
      <x:c r="C332" s="107" t="n">
        <x:v>46136.3665659375</x:v>
      </x:c>
      <x:c r="D332" s="107" t="n">
        <x:v>46136.37447789352</x:v>
      </x:c>
      <x:c r="E332" s="107" t="n">
        <x:v>46136.37558900463</x:v>
      </x:c>
      <x:c r="F332" s="76" t="str">
        <x:v>report_collection</x:v>
      </x:c>
      <x:c r="G332" s="113" t="n">
        <x:f>ROUND((E332-D332)*1440,1)</x:f>
        <x:v>1.6</x:v>
      </x:c>
      <x:c r="H332" s="113" t="n">
        <x:f>ROUND((D332-C332)*1440,1)</x:f>
        <x:v>11.4</x:v>
      </x:c>
      <x:c r="I332" s="113" t="n">
        <x:f>ROUND((E332-C332)*1440,1)</x:f>
        <x:v>13</x:v>
      </x:c>
      <x:c r="J332" s="113" t="n">
        <x:f>IF(A332=A331,ROUND((C332-C331)*1440,1),0)</x:f>
        <x:v>0.6</x:v>
      </x:c>
      <x:c r="K332" s="76" t="str">
        <x:v>FrontDesk-01</x:v>
      </x:c>
      <x:c r="L332" s="113" t="n">
        <x:f>MAX(0,COUNTIFS($A$2:$A$401,A332,$C$2:$C$401,"&lt;"&amp;C332,$E$2:$E$401,"&gt;"&amp;C332)-1)</x:f>
        <x:v>2</x:v>
      </x:c>
      <x:c r="M332" s="113" t="n">
        <x:f>HOUR(C332)</x:f>
        <x:v>8</x:v>
      </x:c>
      <x:c r="N332" s="119" t="n">
        <x:f>ROUND((C332-A332-TIME(8,0,0))*1440,1)</x:f>
        <x:v>47.9</x:v>
      </x:c>
    </x:row>
    <x:row r="333" ht="18" customHeight="1">
      <x:c r="A333" s="101" t="n">
        <x:v>46136</x:v>
      </x:c>
      <x:c r="B333" s="76" t="str">
        <x:v>P0332</x:v>
      </x:c>
      <x:c r="C333" s="107" t="n">
        <x:v>46136.36687766204</x:v>
      </x:c>
      <x:c r="D333" s="107" t="n">
        <x:v>46136.37558900463</x:v>
      </x:c>
      <x:c r="E333" s="107" t="n">
        <x:v>46136.378922337964</x:v>
      </x:c>
      <x:c r="F333" s="76" t="str">
        <x:v>billing_payment</x:v>
      </x:c>
      <x:c r="G333" s="113" t="n">
        <x:f>ROUND((E333-D333)*1440,1)</x:f>
        <x:v>4.8</x:v>
      </x:c>
      <x:c r="H333" s="113" t="n">
        <x:f>ROUND((D333-C333)*1440,1)</x:f>
        <x:v>12.5</x:v>
      </x:c>
      <x:c r="I333" s="113" t="n">
        <x:f>ROUND((E333-C333)*1440,1)</x:f>
        <x:v>17.3</x:v>
      </x:c>
      <x:c r="J333" s="113" t="n">
        <x:f>IF(A333=A332,ROUND((C333-C332)*1440,1),0)</x:f>
        <x:v>0.4</x:v>
      </x:c>
      <x:c r="K333" s="76" t="str">
        <x:v>FrontDesk-01</x:v>
      </x:c>
      <x:c r="L333" s="113" t="n">
        <x:f>MAX(0,COUNTIFS($A$2:$A$401,A333,$C$2:$C$401,"&lt;"&amp;C333,$E$2:$E$401,"&gt;"&amp;C333)-1)</x:f>
        <x:v>3</x:v>
      </x:c>
      <x:c r="M333" s="113" t="n">
        <x:f>HOUR(C333)</x:f>
        <x:v>8</x:v>
      </x:c>
      <x:c r="N333" s="119" t="n">
        <x:f>ROUND((C333-A333-TIME(8,0,0))*1440,1)</x:f>
        <x:v>48.3</x:v>
      </x:c>
    </x:row>
    <x:row r="334" ht="18" customHeight="1">
      <x:c r="A334" s="101" t="n">
        <x:v>46136</x:v>
      </x:c>
      <x:c r="B334" s="76" t="str">
        <x:v>P0333</x:v>
      </x:c>
      <x:c r="C334" s="107" t="n">
        <x:v>46136.36978425926</x:v>
      </x:c>
      <x:c r="D334" s="107" t="n">
        <x:v>46136.378922337964</x:v>
      </x:c>
      <x:c r="E334" s="107" t="n">
        <x:v>46136.38260289352</x:v>
      </x:c>
      <x:c r="F334" s="76" t="str">
        <x:v>registration</x:v>
      </x:c>
      <x:c r="G334" s="113" t="n">
        <x:f>ROUND((E334-D334)*1440,1)</x:f>
        <x:v>5.3</x:v>
      </x:c>
      <x:c r="H334" s="113" t="n">
        <x:f>ROUND((D334-C334)*1440,1)</x:f>
        <x:v>13.2</x:v>
      </x:c>
      <x:c r="I334" s="113" t="n">
        <x:f>ROUND((E334-C334)*1440,1)</x:f>
        <x:v>18.5</x:v>
      </x:c>
      <x:c r="J334" s="113" t="n">
        <x:f>IF(A334=A333,ROUND((C334-C333)*1440,1),0)</x:f>
        <x:v>4.2</x:v>
      </x:c>
      <x:c r="K334" s="76" t="str">
        <x:v>FrontDesk-01</x:v>
      </x:c>
      <x:c r="L334" s="113" t="n">
        <x:f>MAX(0,COUNTIFS($A$2:$A$401,A334,$C$2:$C$401,"&lt;"&amp;C334,$E$2:$E$401,"&gt;"&amp;C334)-1)</x:f>
        <x:v>3</x:v>
      </x:c>
      <x:c r="M334" s="113" t="n">
        <x:f>HOUR(C334)</x:f>
        <x:v>8</x:v>
      </x:c>
      <x:c r="N334" s="119" t="n">
        <x:f>ROUND((C334-A334-TIME(8,0,0))*1440,1)</x:f>
        <x:v>52.5</x:v>
      </x:c>
    </x:row>
    <x:row r="335" ht="18" customHeight="1">
      <x:c r="A335" s="101" t="n">
        <x:v>46136</x:v>
      </x:c>
      <x:c r="B335" s="76" t="str">
        <x:v>P0334</x:v>
      </x:c>
      <x:c r="C335" s="107" t="n">
        <x:v>46136.37243545139</x:v>
      </x:c>
      <x:c r="D335" s="107" t="n">
        <x:v>46136.38260289352</x:v>
      </x:c>
      <x:c r="E335" s="107" t="n">
        <x:v>46136.383644560185</x:v>
      </x:c>
      <x:c r="F335" s="76" t="str">
        <x:v>report_collection</x:v>
      </x:c>
      <x:c r="G335" s="113" t="n">
        <x:f>ROUND((E335-D335)*1440,1)</x:f>
        <x:v>1.5</x:v>
      </x:c>
      <x:c r="H335" s="113" t="n">
        <x:f>ROUND((D335-C335)*1440,1)</x:f>
        <x:v>14.6</x:v>
      </x:c>
      <x:c r="I335" s="113" t="n">
        <x:f>ROUND((E335-C335)*1440,1)</x:f>
        <x:v>16.1</x:v>
      </x:c>
      <x:c r="J335" s="113" t="n">
        <x:f>IF(A335=A334,ROUND((C335-C334)*1440,1),0)</x:f>
        <x:v>3.8</x:v>
      </x:c>
      <x:c r="K335" s="76" t="str">
        <x:v>FrontDesk-01</x:v>
      </x:c>
      <x:c r="L335" s="113" t="n">
        <x:f>MAX(0,COUNTIFS($A$2:$A$401,A335,$C$2:$C$401,"&lt;"&amp;C335,$E$2:$E$401,"&gt;"&amp;C335)-1)</x:f>
        <x:v>4</x:v>
      </x:c>
      <x:c r="M335" s="113" t="n">
        <x:f>HOUR(C335)</x:f>
        <x:v>8</x:v>
      </x:c>
      <x:c r="N335" s="119" t="n">
        <x:f>ROUND((C335-A335-TIME(8,0,0))*1440,1)</x:f>
        <x:v>56.3</x:v>
      </x:c>
    </x:row>
    <x:row r="336" ht="18" customHeight="1">
      <x:c r="A336" s="101" t="n">
        <x:v>46136</x:v>
      </x:c>
      <x:c r="B336" s="76" t="str">
        <x:v>P0335</x:v>
      </x:c>
      <x:c r="C336" s="107" t="n">
        <x:v>46136.373106666666</x:v>
      </x:c>
      <x:c r="D336" s="107" t="n">
        <x:v>46136.383644560185</x:v>
      </x:c>
      <x:c r="E336" s="107" t="n">
        <x:v>46136.38413067129</x:v>
      </x:c>
      <x:c r="F336" s="76" t="str">
        <x:v>inquiry</x:v>
      </x:c>
      <x:c r="G336" s="113" t="n">
        <x:f>ROUND((E336-D336)*1440,1)</x:f>
        <x:v>0.7</x:v>
      </x:c>
      <x:c r="H336" s="113" t="n">
        <x:f>ROUND((D336-C336)*1440,1)</x:f>
        <x:v>15.2</x:v>
      </x:c>
      <x:c r="I336" s="113" t="n">
        <x:f>ROUND((E336-C336)*1440,1)</x:f>
        <x:v>15.9</x:v>
      </x:c>
      <x:c r="J336" s="113" t="n">
        <x:f>IF(A336=A335,ROUND((C336-C335)*1440,1),0)</x:f>
        <x:v>1</x:v>
      </x:c>
      <x:c r="K336" s="76" t="str">
        <x:v>FrontDesk-01</x:v>
      </x:c>
      <x:c r="L336" s="113" t="n">
        <x:f>MAX(0,COUNTIFS($A$2:$A$401,A336,$C$2:$C$401,"&lt;"&amp;C336,$E$2:$E$401,"&gt;"&amp;C336)-1)</x:f>
        <x:v>4</x:v>
      </x:c>
      <x:c r="M336" s="113" t="n">
        <x:f>HOUR(C336)</x:f>
        <x:v>8</x:v>
      </x:c>
      <x:c r="N336" s="119" t="n">
        <x:f>ROUND((C336-A336-TIME(8,0,0))*1440,1)</x:f>
        <x:v>57.3</x:v>
      </x:c>
    </x:row>
    <x:row r="337" ht="18" customHeight="1">
      <x:c r="A337" s="101" t="n">
        <x:v>46136</x:v>
      </x:c>
      <x:c r="B337" s="76" t="str">
        <x:v>P0336</x:v>
      </x:c>
      <x:c r="C337" s="107" t="n">
        <x:v>46136.376224050924</x:v>
      </x:c>
      <x:c r="D337" s="107" t="n">
        <x:v>46136.38413067129</x:v>
      </x:c>
      <x:c r="E337" s="107" t="n">
        <x:v>46136.3878806713</x:v>
      </x:c>
      <x:c r="F337" s="76" t="str">
        <x:v>appointment_booking</x:v>
      </x:c>
      <x:c r="G337" s="113" t="n">
        <x:f>ROUND((E337-D337)*1440,1)</x:f>
        <x:v>5.4</x:v>
      </x:c>
      <x:c r="H337" s="113" t="n">
        <x:f>ROUND((D337-C337)*1440,1)</x:f>
        <x:v>11.4</x:v>
      </x:c>
      <x:c r="I337" s="113" t="n">
        <x:f>ROUND((E337-C337)*1440,1)</x:f>
        <x:v>16.8</x:v>
      </x:c>
      <x:c r="J337" s="113" t="n">
        <x:f>IF(A337=A336,ROUND((C337-C336)*1440,1),0)</x:f>
        <x:v>4.5</x:v>
      </x:c>
      <x:c r="K337" s="76" t="str">
        <x:v>FrontDesk-01</x:v>
      </x:c>
      <x:c r="L337" s="113" t="n">
        <x:f>MAX(0,COUNTIFS($A$2:$A$401,A337,$C$2:$C$401,"&lt;"&amp;C337,$E$2:$E$401,"&gt;"&amp;C337)-1)</x:f>
        <x:v>3</x:v>
      </x:c>
      <x:c r="M337" s="113" t="n">
        <x:f>HOUR(C337)</x:f>
        <x:v>9</x:v>
      </x:c>
      <x:c r="N337" s="119" t="n">
        <x:f>ROUND((C337-A337-TIME(8,0,0))*1440,1)</x:f>
        <x:v>61.8</x:v>
      </x:c>
    </x:row>
    <x:row r="338" ht="18" customHeight="1">
      <x:c r="A338" s="101" t="n">
        <x:v>46136</x:v>
      </x:c>
      <x:c r="B338" s="76" t="str">
        <x:v>P0337</x:v>
      </x:c>
      <x:c r="C338" s="107" t="n">
        <x:v>46136.37816519676</x:v>
      </x:c>
      <x:c r="D338" s="107" t="n">
        <x:v>46136.3878806713</x:v>
      </x:c>
      <x:c r="E338" s="107" t="n">
        <x:v>46136.39142233796</x:v>
      </x:c>
      <x:c r="F338" s="76" t="str">
        <x:v>sample_submission</x:v>
      </x:c>
      <x:c r="G338" s="113" t="n">
        <x:f>ROUND((E338-D338)*1440,1)</x:f>
        <x:v>5.1</x:v>
      </x:c>
      <x:c r="H338" s="113" t="n">
        <x:f>ROUND((D338-C338)*1440,1)</x:f>
        <x:v>14</x:v>
      </x:c>
      <x:c r="I338" s="113" t="n">
        <x:f>ROUND((E338-C338)*1440,1)</x:f>
        <x:v>19.1</x:v>
      </x:c>
      <x:c r="J338" s="113" t="n">
        <x:f>IF(A338=A337,ROUND((C338-C337)*1440,1),0)</x:f>
        <x:v>2.8</x:v>
      </x:c>
      <x:c r="K338" s="76" t="str">
        <x:v>FrontDesk-01</x:v>
      </x:c>
      <x:c r="L338" s="113" t="n">
        <x:f>MAX(0,COUNTIFS($A$2:$A$401,A338,$C$2:$C$401,"&lt;"&amp;C338,$E$2:$E$401,"&gt;"&amp;C338)-1)</x:f>
        <x:v>4</x:v>
      </x:c>
      <x:c r="M338" s="113" t="n">
        <x:f>HOUR(C338)</x:f>
        <x:v>9</x:v>
      </x:c>
      <x:c r="N338" s="119" t="n">
        <x:f>ROUND((C338-A338-TIME(8,0,0))*1440,1)</x:f>
        <x:v>64.6</x:v>
      </x:c>
    </x:row>
    <x:row r="339" ht="18" customHeight="1">
      <x:c r="A339" s="101" t="n">
        <x:v>46136</x:v>
      </x:c>
      <x:c r="B339" s="76" t="str">
        <x:v>P0338</x:v>
      </x:c>
      <x:c r="C339" s="107" t="n">
        <x:v>46136.385484004626</x:v>
      </x:c>
      <x:c r="D339" s="107" t="n">
        <x:v>46136.39142233796</x:v>
      </x:c>
      <x:c r="E339" s="107" t="n">
        <x:v>46136.39496400463</x:v>
      </x:c>
      <x:c r="F339" s="76" t="str">
        <x:v>sample_submission</x:v>
      </x:c>
      <x:c r="G339" s="113" t="n">
        <x:f>ROUND((E339-D339)*1440,1)</x:f>
        <x:v>5.1</x:v>
      </x:c>
      <x:c r="H339" s="113" t="n">
        <x:f>ROUND((D339-C339)*1440,1)</x:f>
        <x:v>8.6</x:v>
      </x:c>
      <x:c r="I339" s="113" t="n">
        <x:f>ROUND((E339-C339)*1440,1)</x:f>
        <x:v>13.7</x:v>
      </x:c>
      <x:c r="J339" s="113" t="n">
        <x:f>IF(A339=A338,ROUND((C339-C338)*1440,1),0)</x:f>
        <x:v>10.5</x:v>
      </x:c>
      <x:c r="K339" s="76" t="str">
        <x:v>FrontDesk-01</x:v>
      </x:c>
      <x:c r="L339" s="113" t="n">
        <x:f>MAX(0,COUNTIFS($A$2:$A$401,A339,$C$2:$C$401,"&lt;"&amp;C339,$E$2:$E$401,"&gt;"&amp;C339)-1)</x:f>
        <x:v>1</x:v>
      </x:c>
      <x:c r="M339" s="113" t="n">
        <x:f>HOUR(C339)</x:f>
        <x:v>9</x:v>
      </x:c>
      <x:c r="N339" s="119" t="n">
        <x:f>ROUND((C339-A339-TIME(8,0,0))*1440,1)</x:f>
        <x:v>75.1</x:v>
      </x:c>
    </x:row>
    <x:row r="340" ht="18" customHeight="1">
      <x:c r="A340" s="101" t="n">
        <x:v>46136</x:v>
      </x:c>
      <x:c r="B340" s="76" t="str">
        <x:v>P0339</x:v>
      </x:c>
      <x:c r="C340" s="107" t="n">
        <x:v>46136.38674116898</x:v>
      </x:c>
      <x:c r="D340" s="107" t="n">
        <x:v>46136.39496400463</x:v>
      </x:c>
      <x:c r="E340" s="107" t="n">
        <x:v>46136.39801956018</x:v>
      </x:c>
      <x:c r="F340" s="76" t="str">
        <x:v>sample_submission</x:v>
      </x:c>
      <x:c r="G340" s="113" t="n">
        <x:f>ROUND((E340-D340)*1440,1)</x:f>
        <x:v>4.4</x:v>
      </x:c>
      <x:c r="H340" s="113" t="n">
        <x:f>ROUND((D340-C340)*1440,1)</x:f>
        <x:v>11.8</x:v>
      </x:c>
      <x:c r="I340" s="113" t="n">
        <x:f>ROUND((E340-C340)*1440,1)</x:f>
        <x:v>16.2</x:v>
      </x:c>
      <x:c r="J340" s="113" t="n">
        <x:f>IF(A340=A339,ROUND((C340-C339)*1440,1),0)</x:f>
        <x:v>1.8</x:v>
      </x:c>
      <x:c r="K340" s="76" t="str">
        <x:v>FrontDesk-01</x:v>
      </x:c>
      <x:c r="L340" s="113" t="n">
        <x:f>MAX(0,COUNTIFS($A$2:$A$401,A340,$C$2:$C$401,"&lt;"&amp;C340,$E$2:$E$401,"&gt;"&amp;C340)-1)</x:f>
        <x:v>2</x:v>
      </x:c>
      <x:c r="M340" s="113" t="n">
        <x:f>HOUR(C340)</x:f>
        <x:v>9</x:v>
      </x:c>
      <x:c r="N340" s="119" t="n">
        <x:f>ROUND((C340-A340-TIME(8,0,0))*1440,1)</x:f>
        <x:v>76.9</x:v>
      </x:c>
    </x:row>
    <x:row r="341" ht="18" customHeight="1">
      <x:c r="A341" s="101" t="n">
        <x:v>46136</x:v>
      </x:c>
      <x:c r="B341" s="76" t="str">
        <x:v>P0340</x:v>
      </x:c>
      <x:c r="C341" s="107" t="n">
        <x:v>46136.39149446759</x:v>
      </x:c>
      <x:c r="D341" s="107" t="n">
        <x:v>46136.39801956018</x:v>
      </x:c>
      <x:c r="E341" s="107" t="n">
        <x:v>46136.404616782405</x:v>
      </x:c>
      <x:c r="F341" s="76" t="str">
        <x:v>registration</x:v>
      </x:c>
      <x:c r="G341" s="113" t="n">
        <x:f>ROUND((E341-D341)*1440,1)</x:f>
        <x:v>9.5</x:v>
      </x:c>
      <x:c r="H341" s="113" t="n">
        <x:f>ROUND((D341-C341)*1440,1)</x:f>
        <x:v>9.4</x:v>
      </x:c>
      <x:c r="I341" s="113" t="n">
        <x:f>ROUND((E341-C341)*1440,1)</x:f>
        <x:v>18.9</x:v>
      </x:c>
      <x:c r="J341" s="113" t="n">
        <x:f>IF(A341=A340,ROUND((C341-C340)*1440,1),0)</x:f>
        <x:v>6.8</x:v>
      </x:c>
      <x:c r="K341" s="76" t="str">
        <x:v>FrontDesk-01</x:v>
      </x:c>
      <x:c r="L341" s="113" t="n">
        <x:f>MAX(0,COUNTIFS($A$2:$A$401,A341,$C$2:$C$401,"&lt;"&amp;C341,$E$2:$E$401,"&gt;"&amp;C341)-1)</x:f>
        <x:v>1</x:v>
      </x:c>
      <x:c r="M341" s="113" t="n">
        <x:f>HOUR(C341)</x:f>
        <x:v>9</x:v>
      </x:c>
      <x:c r="N341" s="119" t="n">
        <x:f>ROUND((C341-A341-TIME(8,0,0))*1440,1)</x:f>
        <x:v>83.8</x:v>
      </x:c>
    </x:row>
    <x:row r="342" ht="18" customHeight="1">
      <x:c r="A342" s="101" t="n">
        <x:v>46136</x:v>
      </x:c>
      <x:c r="B342" s="76" t="str">
        <x:v>P0341</x:v>
      </x:c>
      <x:c r="C342" s="107" t="n">
        <x:v>46136.39719769676</x:v>
      </x:c>
      <x:c r="D342" s="107" t="n">
        <x:v>46136.404616782405</x:v>
      </x:c>
      <x:c r="E342" s="107" t="n">
        <x:v>46136.406977893515</x:v>
      </x:c>
      <x:c r="F342" s="76" t="str">
        <x:v>registration</x:v>
      </x:c>
      <x:c r="G342" s="113" t="n">
        <x:f>ROUND((E342-D342)*1440,1)</x:f>
        <x:v>3.4</x:v>
      </x:c>
      <x:c r="H342" s="113" t="n">
        <x:f>ROUND((D342-C342)*1440,1)</x:f>
        <x:v>10.7</x:v>
      </x:c>
      <x:c r="I342" s="113" t="n">
        <x:f>ROUND((E342-C342)*1440,1)</x:f>
        <x:v>14.1</x:v>
      </x:c>
      <x:c r="J342" s="113" t="n">
        <x:f>IF(A342=A341,ROUND((C342-C341)*1440,1),0)</x:f>
        <x:v>8.2</x:v>
      </x:c>
      <x:c r="K342" s="76" t="str">
        <x:v>FrontDesk-01</x:v>
      </x:c>
      <x:c r="L342" s="113" t="n">
        <x:f>MAX(0,COUNTIFS($A$2:$A$401,A342,$C$2:$C$401,"&lt;"&amp;C342,$E$2:$E$401,"&gt;"&amp;C342)-1)</x:f>
        <x:v>1</x:v>
      </x:c>
      <x:c r="M342" s="113" t="n">
        <x:f>HOUR(C342)</x:f>
        <x:v>9</x:v>
      </x:c>
      <x:c r="N342" s="119" t="n">
        <x:f>ROUND((C342-A342-TIME(8,0,0))*1440,1)</x:f>
        <x:v>92</x:v>
      </x:c>
    </x:row>
    <x:row r="343" ht="18" customHeight="1">
      <x:c r="A343" s="101" t="n">
        <x:v>46136</x:v>
      </x:c>
      <x:c r="B343" s="76" t="str">
        <x:v>P0342</x:v>
      </x:c>
      <x:c r="C343" s="107" t="n">
        <x:v>46136.399306099534</x:v>
      </x:c>
      <x:c r="D343" s="107" t="n">
        <x:v>46136.406977893515</x:v>
      </x:c>
      <x:c r="E343" s="107" t="n">
        <x:v>46136.40815844907</x:v>
      </x:c>
      <x:c r="F343" s="76" t="str">
        <x:v>inquiry</x:v>
      </x:c>
      <x:c r="G343" s="113" t="n">
        <x:f>ROUND((E343-D343)*1440,1)</x:f>
        <x:v>1.7</x:v>
      </x:c>
      <x:c r="H343" s="113" t="n">
        <x:f>ROUND((D343-C343)*1440,1)</x:f>
        <x:v>11</x:v>
      </x:c>
      <x:c r="I343" s="113" t="n">
        <x:f>ROUND((E343-C343)*1440,1)</x:f>
        <x:v>12.7</x:v>
      </x:c>
      <x:c r="J343" s="113" t="n">
        <x:f>IF(A343=A342,ROUND((C343-C342)*1440,1),0)</x:f>
        <x:v>3</x:v>
      </x:c>
      <x:c r="K343" s="76" t="str">
        <x:v>FrontDesk-01</x:v>
      </x:c>
      <x:c r="L343" s="113" t="n">
        <x:f>MAX(0,COUNTIFS($A$2:$A$401,A343,$C$2:$C$401,"&lt;"&amp;C343,$E$2:$E$401,"&gt;"&amp;C343)-1)</x:f>
        <x:v>1</x:v>
      </x:c>
      <x:c r="M343" s="113" t="n">
        <x:f>HOUR(C343)</x:f>
        <x:v>9</x:v>
      </x:c>
      <x:c r="N343" s="119" t="n">
        <x:f>ROUND((C343-A343-TIME(8,0,0))*1440,1)</x:f>
        <x:v>95</x:v>
      </x:c>
    </x:row>
    <x:row r="344" ht="18" customHeight="1">
      <x:c r="A344" s="101" t="n">
        <x:v>46136</x:v>
      </x:c>
      <x:c r="B344" s="76" t="str">
        <x:v>P0343</x:v>
      </x:c>
      <x:c r="C344" s="107" t="n">
        <x:v>46136.40082449074</x:v>
      </x:c>
      <x:c r="D344" s="107" t="n">
        <x:v>46136.40815844907</x:v>
      </x:c>
      <x:c r="E344" s="107" t="n">
        <x:v>46136.41024178241</x:v>
      </x:c>
      <x:c r="F344" s="76" t="str">
        <x:v>billing_payment</x:v>
      </x:c>
      <x:c r="G344" s="113" t="n">
        <x:f>ROUND((E344-D344)*1440,1)</x:f>
        <x:v>3</x:v>
      </x:c>
      <x:c r="H344" s="113" t="n">
        <x:f>ROUND((D344-C344)*1440,1)</x:f>
        <x:v>10.6</x:v>
      </x:c>
      <x:c r="I344" s="113" t="n">
        <x:f>ROUND((E344-C344)*1440,1)</x:f>
        <x:v>13.6</x:v>
      </x:c>
      <x:c r="J344" s="113" t="n">
        <x:f>IF(A344=A343,ROUND((C344-C343)*1440,1),0)</x:f>
        <x:v>2.2</x:v>
      </x:c>
      <x:c r="K344" s="76" t="str">
        <x:v>FrontDesk-01</x:v>
      </x:c>
      <x:c r="L344" s="113" t="n">
        <x:f>MAX(0,COUNTIFS($A$2:$A$401,A344,$C$2:$C$401,"&lt;"&amp;C344,$E$2:$E$401,"&gt;"&amp;C344)-1)</x:f>
        <x:v>2</x:v>
      </x:c>
      <x:c r="M344" s="113" t="n">
        <x:f>HOUR(C344)</x:f>
        <x:v>9</x:v>
      </x:c>
      <x:c r="N344" s="119" t="n">
        <x:f>ROUND((C344-A344-TIME(8,0,0))*1440,1)</x:f>
        <x:v>97.2</x:v>
      </x:c>
    </x:row>
    <x:row r="345" ht="18" customHeight="1">
      <x:c r="A345" s="101" t="n">
        <x:v>46136</x:v>
      </x:c>
      <x:c r="B345" s="76" t="str">
        <x:v>P0344</x:v>
      </x:c>
      <x:c r="C345" s="107" t="n">
        <x:v>46136.401021921294</x:v>
      </x:c>
      <x:c r="D345" s="107" t="n">
        <x:v>46136.41024178241</x:v>
      </x:c>
      <x:c r="E345" s="107" t="n">
        <x:v>46136.41170011574</x:v>
      </x:c>
      <x:c r="F345" s="76" t="str">
        <x:v>report_collection</x:v>
      </x:c>
      <x:c r="G345" s="113" t="n">
        <x:f>ROUND((E345-D345)*1440,1)</x:f>
        <x:v>2.1</x:v>
      </x:c>
      <x:c r="H345" s="113" t="n">
        <x:f>ROUND((D345-C345)*1440,1)</x:f>
        <x:v>13.3</x:v>
      </x:c>
      <x:c r="I345" s="113" t="n">
        <x:f>ROUND((E345-C345)*1440,1)</x:f>
        <x:v>15.4</x:v>
      </x:c>
      <x:c r="J345" s="113" t="n">
        <x:f>IF(A345=A344,ROUND((C345-C344)*1440,1),0)</x:f>
        <x:v>0.3</x:v>
      </x:c>
      <x:c r="K345" s="76" t="str">
        <x:v>FrontDesk-01</x:v>
      </x:c>
      <x:c r="L345" s="113" t="n">
        <x:f>MAX(0,COUNTIFS($A$2:$A$401,A345,$C$2:$C$401,"&lt;"&amp;C345,$E$2:$E$401,"&gt;"&amp;C345)-1)</x:f>
        <x:v>3</x:v>
      </x:c>
      <x:c r="M345" s="113" t="n">
        <x:f>HOUR(C345)</x:f>
        <x:v>9</x:v>
      </x:c>
      <x:c r="N345" s="119" t="n">
        <x:f>ROUND((C345-A345-TIME(8,0,0))*1440,1)</x:f>
        <x:v>97.5</x:v>
      </x:c>
    </x:row>
    <x:row r="346" ht="18" customHeight="1">
      <x:c r="A346" s="101" t="n">
        <x:v>46136</x:v>
      </x:c>
      <x:c r="B346" s="76" t="str">
        <x:v>P0345</x:v>
      </x:c>
      <x:c r="C346" s="107" t="n">
        <x:v>46136.40829284722</x:v>
      </x:c>
      <x:c r="D346" s="107" t="n">
        <x:v>46136.41170011574</x:v>
      </x:c>
      <x:c r="E346" s="107" t="n">
        <x:v>46136.413783449076</x:v>
      </x:c>
      <x:c r="F346" s="76" t="str">
        <x:v>registration</x:v>
      </x:c>
      <x:c r="G346" s="113" t="n">
        <x:f>ROUND((E346-D346)*1440,1)</x:f>
        <x:v>3</x:v>
      </x:c>
      <x:c r="H346" s="113" t="n">
        <x:f>ROUND((D346-C346)*1440,1)</x:f>
        <x:v>4.9</x:v>
      </x:c>
      <x:c r="I346" s="113" t="n">
        <x:f>ROUND((E346-C346)*1440,1)</x:f>
        <x:v>7.9</x:v>
      </x:c>
      <x:c r="J346" s="113" t="n">
        <x:f>IF(A346=A345,ROUND((C346-C345)*1440,1),0)</x:f>
        <x:v>10.5</x:v>
      </x:c>
      <x:c r="K346" s="76" t="str">
        <x:v>FrontDesk-01</x:v>
      </x:c>
      <x:c r="L346" s="113" t="n">
        <x:f>MAX(0,COUNTIFS($A$2:$A$401,A346,$C$2:$C$401,"&lt;"&amp;C346,$E$2:$E$401,"&gt;"&amp;C346)-1)</x:f>
        <x:v>1</x:v>
      </x:c>
      <x:c r="M346" s="113" t="n">
        <x:f>HOUR(C346)</x:f>
        <x:v>9</x:v>
      </x:c>
      <x:c r="N346" s="119" t="n">
        <x:f>ROUND((C346-A346-TIME(8,0,0))*1440,1)</x:f>
        <x:v>107.9</x:v>
      </x:c>
    </x:row>
    <x:row r="347" ht="18" customHeight="1">
      <x:c r="A347" s="101" t="n">
        <x:v>46136</x:v>
      </x:c>
      <x:c r="B347" s="76" t="str">
        <x:v>P0346</x:v>
      </x:c>
      <x:c r="C347" s="107" t="n">
        <x:v>46136.41908535879</x:v>
      </x:c>
      <x:c r="D347" s="107" t="n">
        <x:v>46136.41908535879</x:v>
      </x:c>
      <x:c r="E347" s="107" t="n">
        <x:v>46136.423321469905</x:v>
      </x:c>
      <x:c r="F347" s="76" t="str">
        <x:v>registration</x:v>
      </x:c>
      <x:c r="G347" s="113" t="n">
        <x:f>ROUND((E347-D347)*1440,1)</x:f>
        <x:v>6.1</x:v>
      </x:c>
      <x:c r="H347" s="113" t="n">
        <x:f>ROUND((D347-C347)*1440,1)</x:f>
        <x:v>0</x:v>
      </x:c>
      <x:c r="I347" s="113" t="n">
        <x:f>ROUND((E347-C347)*1440,1)</x:f>
        <x:v>6.1</x:v>
      </x:c>
      <x:c r="J347" s="113" t="n">
        <x:f>IF(A347=A346,ROUND((C347-C346)*1440,1),0)</x:f>
        <x:v>15.5</x:v>
      </x:c>
      <x:c r="K347" s="76" t="str">
        <x:v>FrontDesk-01</x:v>
      </x:c>
      <x:c r="L347" s="113" t="n">
        <x:f>MAX(0,COUNTIFS($A$2:$A$401,A347,$C$2:$C$401,"&lt;"&amp;C347,$E$2:$E$401,"&gt;"&amp;C347)-1)</x:f>
        <x:v>0</x:v>
      </x:c>
      <x:c r="M347" s="113" t="n">
        <x:f>HOUR(C347)</x:f>
        <x:v>10</x:v>
      </x:c>
      <x:c r="N347" s="119" t="n">
        <x:f>ROUND((C347-A347-TIME(8,0,0))*1440,1)</x:f>
        <x:v>123.5</x:v>
      </x:c>
    </x:row>
    <x:row r="348" ht="18" customHeight="1">
      <x:c r="A348" s="101" t="n">
        <x:v>46136</x:v>
      </x:c>
      <x:c r="B348" s="76" t="str">
        <x:v>P0347</x:v>
      </x:c>
      <x:c r="C348" s="107" t="n">
        <x:v>46136.420562314815</x:v>
      </x:c>
      <x:c r="D348" s="107" t="n">
        <x:v>46136.423321469905</x:v>
      </x:c>
      <x:c r="E348" s="107" t="n">
        <x:v>46136.42582146991</x:v>
      </x:c>
      <x:c r="F348" s="76" t="str">
        <x:v>registration</x:v>
      </x:c>
      <x:c r="G348" s="113" t="n">
        <x:f>ROUND((E348-D348)*1440,1)</x:f>
        <x:v>3.6</x:v>
      </x:c>
      <x:c r="H348" s="113" t="n">
        <x:f>ROUND((D348-C348)*1440,1)</x:f>
        <x:v>4</x:v>
      </x:c>
      <x:c r="I348" s="113" t="n">
        <x:f>ROUND((E348-C348)*1440,1)</x:f>
        <x:v>7.6</x:v>
      </x:c>
      <x:c r="J348" s="113" t="n">
        <x:f>IF(A348=A347,ROUND((C348-C347)*1440,1),0)</x:f>
        <x:v>2.1</x:v>
      </x:c>
      <x:c r="K348" s="76" t="str">
        <x:v>FrontDesk-01</x:v>
      </x:c>
      <x:c r="L348" s="113" t="n">
        <x:f>MAX(0,COUNTIFS($A$2:$A$401,A348,$C$2:$C$401,"&lt;"&amp;C348,$E$2:$E$401,"&gt;"&amp;C348)-1)</x:f>
        <x:v>0</x:v>
      </x:c>
      <x:c r="M348" s="113" t="n">
        <x:f>HOUR(C348)</x:f>
        <x:v>10</x:v>
      </x:c>
      <x:c r="N348" s="119" t="n">
        <x:f>ROUND((C348-A348-TIME(8,0,0))*1440,1)</x:f>
        <x:v>125.6</x:v>
      </x:c>
    </x:row>
    <x:row r="349" ht="18" customHeight="1">
      <x:c r="A349" s="101" t="n">
        <x:v>46136</x:v>
      </x:c>
      <x:c r="B349" s="76" t="str">
        <x:v>P0348</x:v>
      </x:c>
      <x:c r="C349" s="107" t="n">
        <x:v>46136.423737164354</x:v>
      </x:c>
      <x:c r="D349" s="107" t="n">
        <x:v>46136.42582146991</x:v>
      </x:c>
      <x:c r="E349" s="107" t="n">
        <x:v>46136.42686313658</x:v>
      </x:c>
      <x:c r="F349" s="76" t="str">
        <x:v>report_collection</x:v>
      </x:c>
      <x:c r="G349" s="113" t="n">
        <x:f>ROUND((E349-D349)*1440,1)</x:f>
        <x:v>1.5</x:v>
      </x:c>
      <x:c r="H349" s="113" t="n">
        <x:f>ROUND((D349-C349)*1440,1)</x:f>
        <x:v>3</x:v>
      </x:c>
      <x:c r="I349" s="113" t="n">
        <x:f>ROUND((E349-C349)*1440,1)</x:f>
        <x:v>4.5</x:v>
      </x:c>
      <x:c r="J349" s="113" t="n">
        <x:f>IF(A349=A348,ROUND((C349-C348)*1440,1),0)</x:f>
        <x:v>4.6</x:v>
      </x:c>
      <x:c r="K349" s="76" t="str">
        <x:v>FrontDesk-01</x:v>
      </x:c>
      <x:c r="L349" s="113" t="n">
        <x:f>MAX(0,COUNTIFS($A$2:$A$401,A349,$C$2:$C$401,"&lt;"&amp;C349,$E$2:$E$401,"&gt;"&amp;C349)-1)</x:f>
        <x:v>0</x:v>
      </x:c>
      <x:c r="M349" s="113" t="n">
        <x:f>HOUR(C349)</x:f>
        <x:v>10</x:v>
      </x:c>
      <x:c r="N349" s="119" t="n">
        <x:f>ROUND((C349-A349-TIME(8,0,0))*1440,1)</x:f>
        <x:v>130.2</x:v>
      </x:c>
    </x:row>
    <x:row r="350" ht="18" customHeight="1">
      <x:c r="A350" s="101" t="n">
        <x:v>46136</x:v>
      </x:c>
      <x:c r="B350" s="76" t="str">
        <x:v>P0349</x:v>
      </x:c>
      <x:c r="C350" s="107" t="n">
        <x:v>46136.431155439815</x:v>
      </x:c>
      <x:c r="D350" s="107" t="n">
        <x:v>46136.431155439815</x:v>
      </x:c>
      <x:c r="E350" s="107" t="n">
        <x:v>46136.43490543981</x:v>
      </x:c>
      <x:c r="F350" s="76" t="str">
        <x:v>sample_submission</x:v>
      </x:c>
      <x:c r="G350" s="113" t="n">
        <x:f>ROUND((E350-D350)*1440,1)</x:f>
        <x:v>5.4</x:v>
      </x:c>
      <x:c r="H350" s="113" t="n">
        <x:f>ROUND((D350-C350)*1440,1)</x:f>
        <x:v>0</x:v>
      </x:c>
      <x:c r="I350" s="113" t="n">
        <x:f>ROUND((E350-C350)*1440,1)</x:f>
        <x:v>5.4</x:v>
      </x:c>
      <x:c r="J350" s="113" t="n">
        <x:f>IF(A350=A349,ROUND((C350-C349)*1440,1),0)</x:f>
        <x:v>10.7</x:v>
      </x:c>
      <x:c r="K350" s="76" t="str">
        <x:v>FrontDesk-01</x:v>
      </x:c>
      <x:c r="L350" s="113" t="n">
        <x:f>MAX(0,COUNTIFS($A$2:$A$401,A350,$C$2:$C$401,"&lt;"&amp;C350,$E$2:$E$401,"&gt;"&amp;C350)-1)</x:f>
        <x:v>0</x:v>
      </x:c>
      <x:c r="M350" s="113" t="n">
        <x:f>HOUR(C350)</x:f>
        <x:v>10</x:v>
      </x:c>
      <x:c r="N350" s="119" t="n">
        <x:f>ROUND((C350-A350-TIME(8,0,0))*1440,1)</x:f>
        <x:v>140.9</x:v>
      </x:c>
    </x:row>
    <x:row r="351" ht="18" customHeight="1">
      <x:c r="A351" s="101" t="n">
        <x:v>46136</x:v>
      </x:c>
      <x:c r="B351" s="76" t="str">
        <x:v>P0350</x:v>
      </x:c>
      <x:c r="C351" s="107" t="n">
        <x:v>46136.4319040625</x:v>
      </x:c>
      <x:c r="D351" s="107" t="n">
        <x:v>46136.43490543981</x:v>
      </x:c>
      <x:c r="E351" s="107" t="n">
        <x:v>46136.43559988426</x:v>
      </x:c>
      <x:c r="F351" s="76" t="str">
        <x:v>inquiry</x:v>
      </x:c>
      <x:c r="G351" s="113" t="n">
        <x:f>ROUND((E351-D351)*1440,1)</x:f>
        <x:v>1</x:v>
      </x:c>
      <x:c r="H351" s="113" t="n">
        <x:f>ROUND((D351-C351)*1440,1)</x:f>
        <x:v>4.3</x:v>
      </x:c>
      <x:c r="I351" s="113" t="n">
        <x:f>ROUND((E351-C351)*1440,1)</x:f>
        <x:v>5.3</x:v>
      </x:c>
      <x:c r="J351" s="113" t="n">
        <x:f>IF(A351=A350,ROUND((C351-C350)*1440,1),0)</x:f>
        <x:v>1.1</x:v>
      </x:c>
      <x:c r="K351" s="76" t="str">
        <x:v>FrontDesk-01</x:v>
      </x:c>
      <x:c r="L351" s="113" t="n">
        <x:f>MAX(0,COUNTIFS($A$2:$A$401,A351,$C$2:$C$401,"&lt;"&amp;C351,$E$2:$E$401,"&gt;"&amp;C351)-1)</x:f>
        <x:v>0</x:v>
      </x:c>
      <x:c r="M351" s="113" t="n">
        <x:f>HOUR(C351)</x:f>
        <x:v>10</x:v>
      </x:c>
      <x:c r="N351" s="119" t="n">
        <x:f>ROUND((C351-A351-TIME(8,0,0))*1440,1)</x:f>
        <x:v>141.9</x:v>
      </x:c>
    </x:row>
    <x:row r="352" ht="18" customHeight="1">
      <x:c r="A352" s="101" t="n">
        <x:v>46136</x:v>
      </x:c>
      <x:c r="B352" s="76" t="str">
        <x:v>P0351</x:v>
      </x:c>
      <x:c r="C352" s="107" t="n">
        <x:v>46136.436600057874</x:v>
      </x:c>
      <x:c r="D352" s="107" t="n">
        <x:v>46136.436600057874</x:v>
      </x:c>
      <x:c r="E352" s="107" t="n">
        <x:v>46136.439794502316</x:v>
      </x:c>
      <x:c r="F352" s="76" t="str">
        <x:v>registration</x:v>
      </x:c>
      <x:c r="G352" s="113" t="n">
        <x:f>ROUND((E352-D352)*1440,1)</x:f>
        <x:v>4.6</x:v>
      </x:c>
      <x:c r="H352" s="113" t="n">
        <x:f>ROUND((D352-C352)*1440,1)</x:f>
        <x:v>0</x:v>
      </x:c>
      <x:c r="I352" s="113" t="n">
        <x:f>ROUND((E352-C352)*1440,1)</x:f>
        <x:v>4.6</x:v>
      </x:c>
      <x:c r="J352" s="113" t="n">
        <x:f>IF(A352=A351,ROUND((C352-C351)*1440,1),0)</x:f>
        <x:v>6.8</x:v>
      </x:c>
      <x:c r="K352" s="76" t="str">
        <x:v>FrontDesk-01</x:v>
      </x:c>
      <x:c r="L352" s="113" t="n">
        <x:f>MAX(0,COUNTIFS($A$2:$A$401,A352,$C$2:$C$401,"&lt;"&amp;C352,$E$2:$E$401,"&gt;"&amp;C352)-1)</x:f>
        <x:v>0</x:v>
      </x:c>
      <x:c r="M352" s="113" t="n">
        <x:f>HOUR(C352)</x:f>
        <x:v>10</x:v>
      </x:c>
      <x:c r="N352" s="119" t="n">
        <x:f>ROUND((C352-A352-TIME(8,0,0))*1440,1)</x:f>
        <x:v>148.7</x:v>
      </x:c>
    </x:row>
    <x:row r="353" ht="18" customHeight="1">
      <x:c r="A353" s="101" t="n">
        <x:v>46136</x:v>
      </x:c>
      <x:c r="B353" s="76" t="str">
        <x:v>P0352</x:v>
      </x:c>
      <x:c r="C353" s="107" t="n">
        <x:v>46136.44356863426</x:v>
      </x:c>
      <x:c r="D353" s="107" t="n">
        <x:v>46136.44356863426</x:v>
      </x:c>
      <x:c r="E353" s="107" t="n">
        <x:v>46136.445860300926</x:v>
      </x:c>
      <x:c r="F353" s="76" t="str">
        <x:v>billing_payment</x:v>
      </x:c>
      <x:c r="G353" s="113" t="n">
        <x:f>ROUND((E353-D353)*1440,1)</x:f>
        <x:v>3.3</x:v>
      </x:c>
      <x:c r="H353" s="113" t="n">
        <x:f>ROUND((D353-C353)*1440,1)</x:f>
        <x:v>0</x:v>
      </x:c>
      <x:c r="I353" s="113" t="n">
        <x:f>ROUND((E353-C353)*1440,1)</x:f>
        <x:v>3.3</x:v>
      </x:c>
      <x:c r="J353" s="113" t="n">
        <x:f>IF(A353=A352,ROUND((C353-C352)*1440,1),0)</x:f>
        <x:v>10</x:v>
      </x:c>
      <x:c r="K353" s="76" t="str">
        <x:v>FrontDesk-01</x:v>
      </x:c>
      <x:c r="L353" s="113" t="n">
        <x:f>MAX(0,COUNTIFS($A$2:$A$401,A353,$C$2:$C$401,"&lt;"&amp;C353,$E$2:$E$401,"&gt;"&amp;C353)-1)</x:f>
        <x:v>0</x:v>
      </x:c>
      <x:c r="M353" s="113" t="n">
        <x:f>HOUR(C353)</x:f>
        <x:v>10</x:v>
      </x:c>
      <x:c r="N353" s="119" t="n">
        <x:f>ROUND((C353-A353-TIME(8,0,0))*1440,1)</x:f>
        <x:v>158.7</x:v>
      </x:c>
    </x:row>
    <x:row r="354" ht="18" customHeight="1">
      <x:c r="A354" s="101" t="n">
        <x:v>46136</x:v>
      </x:c>
      <x:c r="B354" s="76" t="str">
        <x:v>P0353</x:v>
      </x:c>
      <x:c r="C354" s="107" t="n">
        <x:v>46136.444491145834</x:v>
      </x:c>
      <x:c r="D354" s="107" t="n">
        <x:v>46136.445860300926</x:v>
      </x:c>
      <x:c r="E354" s="107" t="n">
        <x:v>46136.448638078706</x:v>
      </x:c>
      <x:c r="F354" s="76" t="str">
        <x:v>registration</x:v>
      </x:c>
      <x:c r="G354" s="113" t="n">
        <x:f>ROUND((E354-D354)*1440,1)</x:f>
        <x:v>4</x:v>
      </x:c>
      <x:c r="H354" s="113" t="n">
        <x:f>ROUND((D354-C354)*1440,1)</x:f>
        <x:v>2</x:v>
      </x:c>
      <x:c r="I354" s="113" t="n">
        <x:f>ROUND((E354-C354)*1440,1)</x:f>
        <x:v>6</x:v>
      </x:c>
      <x:c r="J354" s="113" t="n">
        <x:f>IF(A354=A353,ROUND((C354-C353)*1440,1),0)</x:f>
        <x:v>1.3</x:v>
      </x:c>
      <x:c r="K354" s="76" t="str">
        <x:v>FrontDesk-01</x:v>
      </x:c>
      <x:c r="L354" s="113" t="n">
        <x:f>MAX(0,COUNTIFS($A$2:$A$401,A354,$C$2:$C$401,"&lt;"&amp;C354,$E$2:$E$401,"&gt;"&amp;C354)-1)</x:f>
        <x:v>0</x:v>
      </x:c>
      <x:c r="M354" s="113" t="n">
        <x:f>HOUR(C354)</x:f>
        <x:v>10</x:v>
      </x:c>
      <x:c r="N354" s="119" t="n">
        <x:f>ROUND((C354-A354-TIME(8,0,0))*1440,1)</x:f>
        <x:v>160.1</x:v>
      </x:c>
    </x:row>
    <x:row r="355" ht="18" customHeight="1">
      <x:c r="A355" s="101" t="n">
        <x:v>46136</x:v>
      </x:c>
      <x:c r="B355" s="76" t="str">
        <x:v>P0354</x:v>
      </x:c>
      <x:c r="C355" s="107" t="n">
        <x:v>46136.44968157407</x:v>
      </x:c>
      <x:c r="D355" s="107" t="n">
        <x:v>46136.44968157407</x:v>
      </x:c>
      <x:c r="E355" s="107" t="n">
        <x:v>46136.45023712963</x:v>
      </x:c>
      <x:c r="F355" s="76" t="str">
        <x:v>report_collection</x:v>
      </x:c>
      <x:c r="G355" s="113" t="n">
        <x:f>ROUND((E355-D355)*1440,1)</x:f>
        <x:v>0.8</x:v>
      </x:c>
      <x:c r="H355" s="113" t="n">
        <x:f>ROUND((D355-C355)*1440,1)</x:f>
        <x:v>0</x:v>
      </x:c>
      <x:c r="I355" s="113" t="n">
        <x:f>ROUND((E355-C355)*1440,1)</x:f>
        <x:v>0.8</x:v>
      </x:c>
      <x:c r="J355" s="113" t="n">
        <x:f>IF(A355=A354,ROUND((C355-C354)*1440,1),0)</x:f>
        <x:v>7.5</x:v>
      </x:c>
      <x:c r="K355" s="76" t="str">
        <x:v>FrontDesk-01</x:v>
      </x:c>
      <x:c r="L355" s="113" t="n">
        <x:f>MAX(0,COUNTIFS($A$2:$A$401,A355,$C$2:$C$401,"&lt;"&amp;C355,$E$2:$E$401,"&gt;"&amp;C355)-1)</x:f>
        <x:v>0</x:v>
      </x:c>
      <x:c r="M355" s="113" t="n">
        <x:f>HOUR(C355)</x:f>
        <x:v>10</x:v>
      </x:c>
      <x:c r="N355" s="119" t="n">
        <x:f>ROUND((C355-A355-TIME(8,0,0))*1440,1)</x:f>
        <x:v>167.5</x:v>
      </x:c>
    </x:row>
    <x:row r="356" ht="18" customHeight="1">
      <x:c r="A356" s="101" t="n">
        <x:v>46136</x:v>
      </x:c>
      <x:c r="B356" s="76" t="str">
        <x:v>P0355</x:v>
      </x:c>
      <x:c r="C356" s="107" t="n">
        <x:v>46136.45087375</x:v>
      </x:c>
      <x:c r="D356" s="107" t="n">
        <x:v>46136.45087375</x:v>
      </x:c>
      <x:c r="E356" s="107" t="n">
        <x:v>46136.45497097222</x:v>
      </x:c>
      <x:c r="F356" s="76" t="str">
        <x:v>registration</x:v>
      </x:c>
      <x:c r="G356" s="113" t="n">
        <x:f>ROUND((E356-D356)*1440,1)</x:f>
        <x:v>5.9</x:v>
      </x:c>
      <x:c r="H356" s="113" t="n">
        <x:f>ROUND((D356-C356)*1440,1)</x:f>
        <x:v>0</x:v>
      </x:c>
      <x:c r="I356" s="113" t="n">
        <x:f>ROUND((E356-C356)*1440,1)</x:f>
        <x:v>5.9</x:v>
      </x:c>
      <x:c r="J356" s="113" t="n">
        <x:f>IF(A356=A355,ROUND((C356-C355)*1440,1),0)</x:f>
        <x:v>1.7</x:v>
      </x:c>
      <x:c r="K356" s="76" t="str">
        <x:v>FrontDesk-01</x:v>
      </x:c>
      <x:c r="L356" s="113" t="n">
        <x:f>MAX(0,COUNTIFS($A$2:$A$401,A356,$C$2:$C$401,"&lt;"&amp;C356,$E$2:$E$401,"&gt;"&amp;C356)-1)</x:f>
        <x:v>0</x:v>
      </x:c>
      <x:c r="M356" s="113" t="n">
        <x:f>HOUR(C356)</x:f>
        <x:v>10</x:v>
      </x:c>
      <x:c r="N356" s="119" t="n">
        <x:f>ROUND((C356-A356-TIME(8,0,0))*1440,1)</x:f>
        <x:v>169.3</x:v>
      </x:c>
    </x:row>
    <x:row r="357" ht="18" customHeight="1">
      <x:c r="A357" s="101" t="n">
        <x:v>46136</x:v>
      </x:c>
      <x:c r="B357" s="76" t="str">
        <x:v>P0356</x:v>
      </x:c>
      <x:c r="C357" s="107" t="n">
        <x:v>46136.45562273148</x:v>
      </x:c>
      <x:c r="D357" s="107" t="n">
        <x:v>46136.45562273148</x:v>
      </x:c>
      <x:c r="E357" s="107" t="n">
        <x:v>46136.45853939815</x:v>
      </x:c>
      <x:c r="F357" s="76" t="str">
        <x:v>registration</x:v>
      </x:c>
      <x:c r="G357" s="113" t="n">
        <x:f>ROUND((E357-D357)*1440,1)</x:f>
        <x:v>4.2</x:v>
      </x:c>
      <x:c r="H357" s="113" t="n">
        <x:f>ROUND((D357-C357)*1440,1)</x:f>
        <x:v>0</x:v>
      </x:c>
      <x:c r="I357" s="113" t="n">
        <x:f>ROUND((E357-C357)*1440,1)</x:f>
        <x:v>4.2</x:v>
      </x:c>
      <x:c r="J357" s="113" t="n">
        <x:f>IF(A357=A356,ROUND((C357-C356)*1440,1),0)</x:f>
        <x:v>6.8</x:v>
      </x:c>
      <x:c r="K357" s="76" t="str">
        <x:v>FrontDesk-01</x:v>
      </x:c>
      <x:c r="L357" s="113" t="n">
        <x:f>MAX(0,COUNTIFS($A$2:$A$401,A357,$C$2:$C$401,"&lt;"&amp;C357,$E$2:$E$401,"&gt;"&amp;C357)-1)</x:f>
        <x:v>0</x:v>
      </x:c>
      <x:c r="M357" s="113" t="n">
        <x:f>HOUR(C357)</x:f>
        <x:v>10</x:v>
      </x:c>
      <x:c r="N357" s="119" t="n">
        <x:f>ROUND((C357-A357-TIME(8,0,0))*1440,1)</x:f>
        <x:v>176.1</x:v>
      </x:c>
    </x:row>
    <x:row r="358" ht="18" customHeight="1">
      <x:c r="A358" s="101" t="n">
        <x:v>46136</x:v>
      </x:c>
      <x:c r="B358" s="76" t="str">
        <x:v>P0357</x:v>
      </x:c>
      <x:c r="C358" s="107" t="n">
        <x:v>46136.46029260417</x:v>
      </x:c>
      <x:c r="D358" s="107" t="n">
        <x:v>46136.46029260417</x:v>
      </x:c>
      <x:c r="E358" s="107" t="n">
        <x:v>46136.461473159725</x:v>
      </x:c>
      <x:c r="F358" s="76" t="str">
        <x:v>report_collection</x:v>
      </x:c>
      <x:c r="G358" s="113" t="n">
        <x:f>ROUND((E358-D358)*1440,1)</x:f>
        <x:v>1.7</x:v>
      </x:c>
      <x:c r="H358" s="113" t="n">
        <x:f>ROUND((D358-C358)*1440,1)</x:f>
        <x:v>0</x:v>
      </x:c>
      <x:c r="I358" s="113" t="n">
        <x:f>ROUND((E358-C358)*1440,1)</x:f>
        <x:v>1.7</x:v>
      </x:c>
      <x:c r="J358" s="113" t="n">
        <x:f>IF(A358=A357,ROUND((C358-C357)*1440,1),0)</x:f>
        <x:v>6.7</x:v>
      </x:c>
      <x:c r="K358" s="76" t="str">
        <x:v>FrontDesk-01</x:v>
      </x:c>
      <x:c r="L358" s="113" t="n">
        <x:f>MAX(0,COUNTIFS($A$2:$A$401,A358,$C$2:$C$401,"&lt;"&amp;C358,$E$2:$E$401,"&gt;"&amp;C358)-1)</x:f>
        <x:v>0</x:v>
      </x:c>
      <x:c r="M358" s="113" t="n">
        <x:f>HOUR(C358)</x:f>
        <x:v>11</x:v>
      </x:c>
      <x:c r="N358" s="119" t="n">
        <x:f>ROUND((C358-A358-TIME(8,0,0))*1440,1)</x:f>
        <x:v>182.8</x:v>
      </x:c>
    </x:row>
    <x:row r="359" ht="18" customHeight="1">
      <x:c r="A359" s="101" t="n">
        <x:v>46136</x:v>
      </x:c>
      <x:c r="B359" s="76" t="str">
        <x:v>P0358</x:v>
      </x:c>
      <x:c r="C359" s="107" t="n">
        <x:v>46136.46243388889</x:v>
      </x:c>
      <x:c r="D359" s="107" t="n">
        <x:v>46136.46243388889</x:v>
      </x:c>
      <x:c r="E359" s="107" t="n">
        <x:v>46136.463197777775</x:v>
      </x:c>
      <x:c r="F359" s="76" t="str">
        <x:v>report_collection</x:v>
      </x:c>
      <x:c r="G359" s="113" t="n">
        <x:f>ROUND((E359-D359)*1440,1)</x:f>
        <x:v>1.1</x:v>
      </x:c>
      <x:c r="H359" s="113" t="n">
        <x:f>ROUND((D359-C359)*1440,1)</x:f>
        <x:v>0</x:v>
      </x:c>
      <x:c r="I359" s="113" t="n">
        <x:f>ROUND((E359-C359)*1440,1)</x:f>
        <x:v>1.1</x:v>
      </x:c>
      <x:c r="J359" s="113" t="n">
        <x:f>IF(A359=A358,ROUND((C359-C358)*1440,1),0)</x:f>
        <x:v>3.1</x:v>
      </x:c>
      <x:c r="K359" s="76" t="str">
        <x:v>FrontDesk-01</x:v>
      </x:c>
      <x:c r="L359" s="113" t="n">
        <x:f>MAX(0,COUNTIFS($A$2:$A$401,A359,$C$2:$C$401,"&lt;"&amp;C359,$E$2:$E$401,"&gt;"&amp;C359)-1)</x:f>
        <x:v>0</x:v>
      </x:c>
      <x:c r="M359" s="113" t="n">
        <x:f>HOUR(C359)</x:f>
        <x:v>11</x:v>
      </x:c>
      <x:c r="N359" s="119" t="n">
        <x:f>ROUND((C359-A359-TIME(8,0,0))*1440,1)</x:f>
        <x:v>185.9</x:v>
      </x:c>
    </x:row>
    <x:row r="360" ht="18" customHeight="1">
      <x:c r="A360" s="101" t="n">
        <x:v>46136</x:v>
      </x:c>
      <x:c r="B360" s="76" t="str">
        <x:v>P0359</x:v>
      </x:c>
      <x:c r="C360" s="107" t="n">
        <x:v>46136.463017974536</x:v>
      </x:c>
      <x:c r="D360" s="107" t="n">
        <x:v>46136.463197777775</x:v>
      </x:c>
      <x:c r="E360" s="107" t="n">
        <x:v>46136.46680888889</x:v>
      </x:c>
      <x:c r="F360" s="76" t="str">
        <x:v>registration</x:v>
      </x:c>
      <x:c r="G360" s="113" t="n">
        <x:f>ROUND((E360-D360)*1440,1)</x:f>
        <x:v>5.2</x:v>
      </x:c>
      <x:c r="H360" s="113" t="n">
        <x:f>ROUND((D360-C360)*1440,1)</x:f>
        <x:v>0.3</x:v>
      </x:c>
      <x:c r="I360" s="113" t="n">
        <x:f>ROUND((E360-C360)*1440,1)</x:f>
        <x:v>5.5</x:v>
      </x:c>
      <x:c r="J360" s="113" t="n">
        <x:f>IF(A360=A359,ROUND((C360-C359)*1440,1),0)</x:f>
        <x:v>0.8</x:v>
      </x:c>
      <x:c r="K360" s="76" t="str">
        <x:v>FrontDesk-01</x:v>
      </x:c>
      <x:c r="L360" s="113" t="n">
        <x:f>MAX(0,COUNTIFS($A$2:$A$401,A360,$C$2:$C$401,"&lt;"&amp;C360,$E$2:$E$401,"&gt;"&amp;C360)-1)</x:f>
        <x:v>0</x:v>
      </x:c>
      <x:c r="M360" s="113" t="n">
        <x:f>HOUR(C360)</x:f>
        <x:v>11</x:v>
      </x:c>
      <x:c r="N360" s="119" t="n">
        <x:f>ROUND((C360-A360-TIME(8,0,0))*1440,1)</x:f>
        <x:v>186.7</x:v>
      </x:c>
    </x:row>
    <x:row r="361" ht="18" customHeight="1">
      <x:c r="A361" s="101" t="n">
        <x:v>46136</x:v>
      </x:c>
      <x:c r="B361" s="76" t="str">
        <x:v>P0360</x:v>
      </x:c>
      <x:c r="C361" s="107" t="n">
        <x:v>46136.463976666666</x:v>
      </x:c>
      <x:c r="D361" s="107" t="n">
        <x:v>46136.46680888889</x:v>
      </x:c>
      <x:c r="E361" s="107" t="n">
        <x:v>46136.470489444444</x:v>
      </x:c>
      <x:c r="F361" s="76" t="str">
        <x:v>sample_submission</x:v>
      </x:c>
      <x:c r="G361" s="113" t="n">
        <x:f>ROUND((E361-D361)*1440,1)</x:f>
        <x:v>5.3</x:v>
      </x:c>
      <x:c r="H361" s="113" t="n">
        <x:f>ROUND((D361-C361)*1440,1)</x:f>
        <x:v>4.1</x:v>
      </x:c>
      <x:c r="I361" s="113" t="n">
        <x:f>ROUND((E361-C361)*1440,1)</x:f>
        <x:v>9.4</x:v>
      </x:c>
      <x:c r="J361" s="113" t="n">
        <x:f>IF(A361=A360,ROUND((C361-C360)*1440,1),0)</x:f>
        <x:v>1.4</x:v>
      </x:c>
      <x:c r="K361" s="76" t="str">
        <x:v>FrontDesk-01</x:v>
      </x:c>
      <x:c r="L361" s="113" t="n">
        <x:f>MAX(0,COUNTIFS($A$2:$A$401,A361,$C$2:$C$401,"&lt;"&amp;C361,$E$2:$E$401,"&gt;"&amp;C361)-1)</x:f>
        <x:v>0</x:v>
      </x:c>
      <x:c r="M361" s="113" t="n">
        <x:f>HOUR(C361)</x:f>
        <x:v>11</x:v>
      </x:c>
      <x:c r="N361" s="119" t="n">
        <x:f>ROUND((C361-A361-TIME(8,0,0))*1440,1)</x:f>
        <x:v>188.1</x:v>
      </x:c>
    </x:row>
    <x:row r="362" ht="18" customHeight="1">
      <x:c r="A362" s="101" t="n">
        <x:v>46136</x:v>
      </x:c>
      <x:c r="B362" s="76" t="str">
        <x:v>P0361</x:v>
      </x:c>
      <x:c r="C362" s="107" t="n">
        <x:v>46136.4724519213</x:v>
      </x:c>
      <x:c r="D362" s="107" t="n">
        <x:v>46136.4724519213</x:v>
      </x:c>
      <x:c r="E362" s="107" t="n">
        <x:v>46136.47481303241</x:v>
      </x:c>
      <x:c r="F362" s="76" t="str">
        <x:v>registration</x:v>
      </x:c>
      <x:c r="G362" s="113" t="n">
        <x:f>ROUND((E362-D362)*1440,1)</x:f>
        <x:v>3.4</x:v>
      </x:c>
      <x:c r="H362" s="113" t="n">
        <x:f>ROUND((D362-C362)*1440,1)</x:f>
        <x:v>0</x:v>
      </x:c>
      <x:c r="I362" s="113" t="n">
        <x:f>ROUND((E362-C362)*1440,1)</x:f>
        <x:v>3.4</x:v>
      </x:c>
      <x:c r="J362" s="113" t="n">
        <x:f>IF(A362=A361,ROUND((C362-C361)*1440,1),0)</x:f>
        <x:v>12.2</x:v>
      </x:c>
      <x:c r="K362" s="76" t="str">
        <x:v>FrontDesk-01</x:v>
      </x:c>
      <x:c r="L362" s="113" t="n">
        <x:f>MAX(0,COUNTIFS($A$2:$A$401,A362,$C$2:$C$401,"&lt;"&amp;C362,$E$2:$E$401,"&gt;"&amp;C362)-1)</x:f>
        <x:v>0</x:v>
      </x:c>
      <x:c r="M362" s="113" t="n">
        <x:f>HOUR(C362)</x:f>
        <x:v>11</x:v>
      </x:c>
      <x:c r="N362" s="119" t="n">
        <x:f>ROUND((C362-A362-TIME(8,0,0))*1440,1)</x:f>
        <x:v>200.3</x:v>
      </x:c>
    </x:row>
    <x:row r="363" ht="18" customHeight="1">
      <x:c r="A363" s="101" t="n">
        <x:v>46136</x:v>
      </x:c>
      <x:c r="B363" s="76" t="str">
        <x:v>P0362</x:v>
      </x:c>
      <x:c r="C363" s="107" t="n">
        <x:v>46136.47411982639</x:v>
      </x:c>
      <x:c r="D363" s="107" t="n">
        <x:v>46136.47481303241</x:v>
      </x:c>
      <x:c r="E363" s="107" t="n">
        <x:v>46136.47904914352</x:v>
      </x:c>
      <x:c r="F363" s="76" t="str">
        <x:v>sample_submission</x:v>
      </x:c>
      <x:c r="G363" s="113" t="n">
        <x:f>ROUND((E363-D363)*1440,1)</x:f>
        <x:v>6.1</x:v>
      </x:c>
      <x:c r="H363" s="113" t="n">
        <x:f>ROUND((D363-C363)*1440,1)</x:f>
        <x:v>1</x:v>
      </x:c>
      <x:c r="I363" s="113" t="n">
        <x:f>ROUND((E363-C363)*1440,1)</x:f>
        <x:v>7.1</x:v>
      </x:c>
      <x:c r="J363" s="113" t="n">
        <x:f>IF(A363=A362,ROUND((C363-C362)*1440,1),0)</x:f>
        <x:v>2.4</x:v>
      </x:c>
      <x:c r="K363" s="76" t="str">
        <x:v>FrontDesk-01</x:v>
      </x:c>
      <x:c r="L363" s="113" t="n">
        <x:f>MAX(0,COUNTIFS($A$2:$A$401,A363,$C$2:$C$401,"&lt;"&amp;C363,$E$2:$E$401,"&gt;"&amp;C363)-1)</x:f>
        <x:v>0</x:v>
      </x:c>
      <x:c r="M363" s="113" t="n">
        <x:f>HOUR(C363)</x:f>
        <x:v>11</x:v>
      </x:c>
      <x:c r="N363" s="119" t="n">
        <x:f>ROUND((C363-A363-TIME(8,0,0))*1440,1)</x:f>
        <x:v>202.7</x:v>
      </x:c>
    </x:row>
    <x:row r="364" ht="18" customHeight="1">
      <x:c r="A364" s="101" t="n">
        <x:v>46136</x:v>
      </x:c>
      <x:c r="B364" s="76" t="str">
        <x:v>P0363</x:v>
      </x:c>
      <x:c r="C364" s="107" t="n">
        <x:v>46136.4809980787</x:v>
      </x:c>
      <x:c r="D364" s="107" t="n">
        <x:v>46136.4809980787</x:v>
      </x:c>
      <x:c r="E364" s="107" t="n">
        <x:v>46136.482248078704</x:v>
      </x:c>
      <x:c r="F364" s="76" t="str">
        <x:v>inquiry</x:v>
      </x:c>
      <x:c r="G364" s="113" t="n">
        <x:f>ROUND((E364-D364)*1440,1)</x:f>
        <x:v>1.8</x:v>
      </x:c>
      <x:c r="H364" s="113" t="n">
        <x:f>ROUND((D364-C364)*1440,1)</x:f>
        <x:v>0</x:v>
      </x:c>
      <x:c r="I364" s="113" t="n">
        <x:f>ROUND((E364-C364)*1440,1)</x:f>
        <x:v>1.8</x:v>
      </x:c>
      <x:c r="J364" s="113" t="n">
        <x:f>IF(A364=A363,ROUND((C364-C363)*1440,1),0)</x:f>
        <x:v>9.9</x:v>
      </x:c>
      <x:c r="K364" s="76" t="str">
        <x:v>FrontDesk-01</x:v>
      </x:c>
      <x:c r="L364" s="113" t="n">
        <x:f>MAX(0,COUNTIFS($A$2:$A$401,A364,$C$2:$C$401,"&lt;"&amp;C364,$E$2:$E$401,"&gt;"&amp;C364)-1)</x:f>
        <x:v>0</x:v>
      </x:c>
      <x:c r="M364" s="113" t="n">
        <x:f>HOUR(C364)</x:f>
        <x:v>11</x:v>
      </x:c>
      <x:c r="N364" s="119" t="n">
        <x:f>ROUND((C364-A364-TIME(8,0,0))*1440,1)</x:f>
        <x:v>212.6</x:v>
      </x:c>
    </x:row>
    <x:row r="365" ht="18" customHeight="1">
      <x:c r="A365" s="101" t="n">
        <x:v>46136</x:v>
      </x:c>
      <x:c r="B365" s="76" t="str">
        <x:v>P0364</x:v>
      </x:c>
      <x:c r="C365" s="107" t="n">
        <x:v>46136.48130864583</x:v>
      </x:c>
      <x:c r="D365" s="107" t="n">
        <x:v>46136.482248078704</x:v>
      </x:c>
      <x:c r="E365" s="107" t="n">
        <x:v>46136.487595300925</x:v>
      </x:c>
      <x:c r="F365" s="76" t="str">
        <x:v>registration</x:v>
      </x:c>
      <x:c r="G365" s="113" t="n">
        <x:f>ROUND((E365-D365)*1440,1)</x:f>
        <x:v>7.7</x:v>
      </x:c>
      <x:c r="H365" s="113" t="n">
        <x:f>ROUND((D365-C365)*1440,1)</x:f>
        <x:v>1.4</x:v>
      </x:c>
      <x:c r="I365" s="113" t="n">
        <x:f>ROUND((E365-C365)*1440,1)</x:f>
        <x:v>9.1</x:v>
      </x:c>
      <x:c r="J365" s="113" t="n">
        <x:f>IF(A365=A364,ROUND((C365-C364)*1440,1),0)</x:f>
        <x:v>0.4</x:v>
      </x:c>
      <x:c r="K365" s="76" t="str">
        <x:v>FrontDesk-01</x:v>
      </x:c>
      <x:c r="L365" s="113" t="n">
        <x:f>MAX(0,COUNTIFS($A$2:$A$401,A365,$C$2:$C$401,"&lt;"&amp;C365,$E$2:$E$401,"&gt;"&amp;C365)-1)</x:f>
        <x:v>0</x:v>
      </x:c>
      <x:c r="M365" s="113" t="n">
        <x:f>HOUR(C365)</x:f>
        <x:v>11</x:v>
      </x:c>
      <x:c r="N365" s="119" t="n">
        <x:f>ROUND((C365-A365-TIME(8,0,0))*1440,1)</x:f>
        <x:v>213.1</x:v>
      </x:c>
    </x:row>
    <x:row r="366" ht="18" customHeight="1">
      <x:c r="A366" s="101" t="n">
        <x:v>46136</x:v>
      </x:c>
      <x:c r="B366" s="76" t="str">
        <x:v>P0365</x:v>
      </x:c>
      <x:c r="C366" s="107" t="n">
        <x:v>46136.49730969907</x:v>
      </x:c>
      <x:c r="D366" s="107" t="n">
        <x:v>46136.49730969907</x:v>
      </x:c>
      <x:c r="E366" s="107" t="n">
        <x:v>46136.49897636574</x:v>
      </x:c>
      <x:c r="F366" s="76" t="str">
        <x:v>report_collection</x:v>
      </x:c>
      <x:c r="G366" s="113" t="n">
        <x:f>ROUND((E366-D366)*1440,1)</x:f>
        <x:v>2.4</x:v>
      </x:c>
      <x:c r="H366" s="113" t="n">
        <x:f>ROUND((D366-C366)*1440,1)</x:f>
        <x:v>0</x:v>
      </x:c>
      <x:c r="I366" s="113" t="n">
        <x:f>ROUND((E366-C366)*1440,1)</x:f>
        <x:v>2.4</x:v>
      </x:c>
      <x:c r="J366" s="113" t="n">
        <x:f>IF(A366=A365,ROUND((C366-C365)*1440,1),0)</x:f>
        <x:v>23</x:v>
      </x:c>
      <x:c r="K366" s="76" t="str">
        <x:v>FrontDesk-01</x:v>
      </x:c>
      <x:c r="L366" s="113" t="n">
        <x:f>MAX(0,COUNTIFS($A$2:$A$401,A366,$C$2:$C$401,"&lt;"&amp;C366,$E$2:$E$401,"&gt;"&amp;C366)-1)</x:f>
        <x:v>0</x:v>
      </x:c>
      <x:c r="M366" s="113" t="n">
        <x:f>HOUR(C366)</x:f>
        <x:v>11</x:v>
      </x:c>
      <x:c r="N366" s="119" t="n">
        <x:f>ROUND((C366-A366-TIME(8,0,0))*1440,1)</x:f>
        <x:v>236.1</x:v>
      </x:c>
    </x:row>
    <x:row r="367" ht="18" customHeight="1">
      <x:c r="A367" s="101" t="n">
        <x:v>46136</x:v>
      </x:c>
      <x:c r="B367" s="76" t="str">
        <x:v>P0366</x:v>
      </x:c>
      <x:c r="C367" s="107" t="n">
        <x:v>46136.5084590625</x:v>
      </x:c>
      <x:c r="D367" s="107" t="n">
        <x:v>46136.5084590625</x:v>
      </x:c>
      <x:c r="E367" s="107" t="n">
        <x:v>46136.50950072917</x:v>
      </x:c>
      <x:c r="F367" s="76" t="str">
        <x:v>report_collection</x:v>
      </x:c>
      <x:c r="G367" s="113" t="n">
        <x:f>ROUND((E367-D367)*1440,1)</x:f>
        <x:v>1.5</x:v>
      </x:c>
      <x:c r="H367" s="113" t="n">
        <x:f>ROUND((D367-C367)*1440,1)</x:f>
        <x:v>0</x:v>
      </x:c>
      <x:c r="I367" s="113" t="n">
        <x:f>ROUND((E367-C367)*1440,1)</x:f>
        <x:v>1.5</x:v>
      </x:c>
      <x:c r="J367" s="113" t="n">
        <x:f>IF(A367=A366,ROUND((C367-C366)*1440,1),0)</x:f>
        <x:v>16.1</x:v>
      </x:c>
      <x:c r="K367" s="76" t="str">
        <x:v>FrontDesk-01</x:v>
      </x:c>
      <x:c r="L367" s="113" t="n">
        <x:f>MAX(0,COUNTIFS($A$2:$A$401,A367,$C$2:$C$401,"&lt;"&amp;C367,$E$2:$E$401,"&gt;"&amp;C367)-1)</x:f>
        <x:v>0</x:v>
      </x:c>
      <x:c r="M367" s="113" t="n">
        <x:f>HOUR(C367)</x:f>
        <x:v>12</x:v>
      </x:c>
      <x:c r="N367" s="119" t="n">
        <x:f>ROUND((C367-A367-TIME(8,0,0))*1440,1)</x:f>
        <x:v>252.2</x:v>
      </x:c>
    </x:row>
    <x:row r="368" ht="18" customHeight="1">
      <x:c r="A368" s="101" t="n">
        <x:v>46136</x:v>
      </x:c>
      <x:c r="B368" s="76" t="str">
        <x:v>P0367</x:v>
      </x:c>
      <x:c r="C368" s="107" t="n">
        <x:v>46136.511122523145</x:v>
      </x:c>
      <x:c r="D368" s="107" t="n">
        <x:v>46136.511122523145</x:v>
      </x:c>
      <x:c r="E368" s="107" t="n">
        <x:v>46136.51424752315</x:v>
      </x:c>
      <x:c r="F368" s="76" t="str">
        <x:v>registration</x:v>
      </x:c>
      <x:c r="G368" s="113" t="n">
        <x:f>ROUND((E368-D368)*1440,1)</x:f>
        <x:v>4.5</x:v>
      </x:c>
      <x:c r="H368" s="113" t="n">
        <x:f>ROUND((D368-C368)*1440,1)</x:f>
        <x:v>0</x:v>
      </x:c>
      <x:c r="I368" s="113" t="n">
        <x:f>ROUND((E368-C368)*1440,1)</x:f>
        <x:v>4.5</x:v>
      </x:c>
      <x:c r="J368" s="113" t="n">
        <x:f>IF(A368=A367,ROUND((C368-C367)*1440,1),0)</x:f>
        <x:v>3.8</x:v>
      </x:c>
      <x:c r="K368" s="76" t="str">
        <x:v>FrontDesk-01</x:v>
      </x:c>
      <x:c r="L368" s="113" t="n">
        <x:f>MAX(0,COUNTIFS($A$2:$A$401,A368,$C$2:$C$401,"&lt;"&amp;C368,$E$2:$E$401,"&gt;"&amp;C368)-1)</x:f>
        <x:v>0</x:v>
      </x:c>
      <x:c r="M368" s="113" t="n">
        <x:f>HOUR(C368)</x:f>
        <x:v>12</x:v>
      </x:c>
      <x:c r="N368" s="119" t="n">
        <x:f>ROUND((C368-A368-TIME(8,0,0))*1440,1)</x:f>
        <x:v>256</x:v>
      </x:c>
    </x:row>
    <x:row r="369" ht="18" customHeight="1">
      <x:c r="A369" s="101" t="n">
        <x:v>46136</x:v>
      </x:c>
      <x:c r="B369" s="76" t="str">
        <x:v>P0368</x:v>
      </x:c>
      <x:c r="C369" s="107" t="n">
        <x:v>46136.51408356481</x:v>
      </x:c>
      <x:c r="D369" s="107" t="n">
        <x:v>46136.51424752315</x:v>
      </x:c>
      <x:c r="E369" s="107" t="n">
        <x:v>46136.51598363426</x:v>
      </x:c>
      <x:c r="F369" s="76" t="str">
        <x:v>billing_payment</x:v>
      </x:c>
      <x:c r="G369" s="113" t="n">
        <x:f>ROUND((E369-D369)*1440,1)</x:f>
        <x:v>2.5</x:v>
      </x:c>
      <x:c r="H369" s="113" t="n">
        <x:f>ROUND((D369-C369)*1440,1)</x:f>
        <x:v>0.2</x:v>
      </x:c>
      <x:c r="I369" s="113" t="n">
        <x:f>ROUND((E369-C369)*1440,1)</x:f>
        <x:v>2.7</x:v>
      </x:c>
      <x:c r="J369" s="113" t="n">
        <x:f>IF(A369=A368,ROUND((C369-C368)*1440,1),0)</x:f>
        <x:v>4.3</x:v>
      </x:c>
      <x:c r="K369" s="76" t="str">
        <x:v>FrontDesk-01</x:v>
      </x:c>
      <x:c r="L369" s="113" t="n">
        <x:f>MAX(0,COUNTIFS($A$2:$A$401,A369,$C$2:$C$401,"&lt;"&amp;C369,$E$2:$E$401,"&gt;"&amp;C369)-1)</x:f>
        <x:v>0</x:v>
      </x:c>
      <x:c r="M369" s="113" t="n">
        <x:f>HOUR(C369)</x:f>
        <x:v>12</x:v>
      </x:c>
      <x:c r="N369" s="119" t="n">
        <x:f>ROUND((C369-A369-TIME(8,0,0))*1440,1)</x:f>
        <x:v>260.3</x:v>
      </x:c>
    </x:row>
    <x:row r="370" ht="18" customHeight="1">
      <x:c r="A370" s="101" t="n">
        <x:v>46136</x:v>
      </x:c>
      <x:c r="B370" s="76" t="str">
        <x:v>P0369</x:v>
      </x:c>
      <x:c r="C370" s="107" t="n">
        <x:v>46136.51749061343</x:v>
      </x:c>
      <x:c r="D370" s="107" t="n">
        <x:v>46136.51749061343</x:v>
      </x:c>
      <x:c r="E370" s="107" t="n">
        <x:v>46136.5221433912</x:v>
      </x:c>
      <x:c r="F370" s="76" t="str">
        <x:v>sample_submission</x:v>
      </x:c>
      <x:c r="G370" s="113" t="n">
        <x:f>ROUND((E370-D370)*1440,1)</x:f>
        <x:v>6.7</x:v>
      </x:c>
      <x:c r="H370" s="113" t="n">
        <x:f>ROUND((D370-C370)*1440,1)</x:f>
        <x:v>0</x:v>
      </x:c>
      <x:c r="I370" s="113" t="n">
        <x:f>ROUND((E370-C370)*1440,1)</x:f>
        <x:v>6.7</x:v>
      </x:c>
      <x:c r="J370" s="113" t="n">
        <x:f>IF(A370=A369,ROUND((C370-C369)*1440,1),0)</x:f>
        <x:v>4.9</x:v>
      </x:c>
      <x:c r="K370" s="76" t="str">
        <x:v>FrontDesk-01</x:v>
      </x:c>
      <x:c r="L370" s="113" t="n">
        <x:f>MAX(0,COUNTIFS($A$2:$A$401,A370,$C$2:$C$401,"&lt;"&amp;C370,$E$2:$E$401,"&gt;"&amp;C370)-1)</x:f>
        <x:v>0</x:v>
      </x:c>
      <x:c r="M370" s="113" t="n">
        <x:f>HOUR(C370)</x:f>
        <x:v>12</x:v>
      </x:c>
      <x:c r="N370" s="119" t="n">
        <x:f>ROUND((C370-A370-TIME(8,0,0))*1440,1)</x:f>
        <x:v>265.2</x:v>
      </x:c>
    </x:row>
    <x:row r="371" ht="18" customHeight="1">
      <x:c r="A371" s="101" t="n">
        <x:v>46136</x:v>
      </x:c>
      <x:c r="B371" s="76" t="str">
        <x:v>P0370</x:v>
      </x:c>
      <x:c r="C371" s="107" t="n">
        <x:v>46136.52162579861</x:v>
      </x:c>
      <x:c r="D371" s="107" t="n">
        <x:v>46136.5221433912</x:v>
      </x:c>
      <x:c r="E371" s="107" t="n">
        <x:v>46136.52568505787</x:v>
      </x:c>
      <x:c r="F371" s="76" t="str">
        <x:v>registration</x:v>
      </x:c>
      <x:c r="G371" s="113" t="n">
        <x:f>ROUND((E371-D371)*1440,1)</x:f>
        <x:v>5.1</x:v>
      </x:c>
      <x:c r="H371" s="113" t="n">
        <x:f>ROUND((D371-C371)*1440,1)</x:f>
        <x:v>0.7</x:v>
      </x:c>
      <x:c r="I371" s="113" t="n">
        <x:f>ROUND((E371-C371)*1440,1)</x:f>
        <x:v>5.8</x:v>
      </x:c>
      <x:c r="J371" s="113" t="n">
        <x:f>IF(A371=A370,ROUND((C371-C370)*1440,1),0)</x:f>
        <x:v>6</x:v>
      </x:c>
      <x:c r="K371" s="76" t="str">
        <x:v>FrontDesk-01</x:v>
      </x:c>
      <x:c r="L371" s="113" t="n">
        <x:f>MAX(0,COUNTIFS($A$2:$A$401,A371,$C$2:$C$401,"&lt;"&amp;C371,$E$2:$E$401,"&gt;"&amp;C371)-1)</x:f>
        <x:v>0</x:v>
      </x:c>
      <x:c r="M371" s="113" t="n">
        <x:f>HOUR(C371)</x:f>
        <x:v>12</x:v>
      </x:c>
      <x:c r="N371" s="119" t="n">
        <x:f>ROUND((C371-A371-TIME(8,0,0))*1440,1)</x:f>
        <x:v>271.1</x:v>
      </x:c>
    </x:row>
    <x:row r="372" ht="18" customHeight="1">
      <x:c r="A372" s="101" t="n">
        <x:v>46136</x:v>
      </x:c>
      <x:c r="B372" s="76" t="str">
        <x:v>P0371</x:v>
      </x:c>
      <x:c r="C372" s="107" t="n">
        <x:v>46136.551758298614</x:v>
      </x:c>
      <x:c r="D372" s="107" t="n">
        <x:v>46136.551758298614</x:v>
      </x:c>
      <x:c r="E372" s="107" t="n">
        <x:v>46136.55516107639</x:v>
      </x:c>
      <x:c r="F372" s="76" t="str">
        <x:v>sample_submission</x:v>
      </x:c>
      <x:c r="G372" s="113" t="n">
        <x:f>ROUND((E372-D372)*1440,1)</x:f>
        <x:v>4.9</x:v>
      </x:c>
      <x:c r="H372" s="113" t="n">
        <x:f>ROUND((D372-C372)*1440,1)</x:f>
        <x:v>0</x:v>
      </x:c>
      <x:c r="I372" s="113" t="n">
        <x:f>ROUND((E372-C372)*1440,1)</x:f>
        <x:v>4.9</x:v>
      </x:c>
      <x:c r="J372" s="113" t="n">
        <x:f>IF(A372=A371,ROUND((C372-C371)*1440,1),0)</x:f>
        <x:v>43.4</x:v>
      </x:c>
      <x:c r="K372" s="76" t="str">
        <x:v>FrontDesk-01</x:v>
      </x:c>
      <x:c r="L372" s="113" t="n">
        <x:f>MAX(0,COUNTIFS($A$2:$A$401,A372,$C$2:$C$401,"&lt;"&amp;C372,$E$2:$E$401,"&gt;"&amp;C372)-1)</x:f>
        <x:v>0</x:v>
      </x:c>
      <x:c r="M372" s="113" t="n">
        <x:f>HOUR(C372)</x:f>
        <x:v>13</x:v>
      </x:c>
      <x:c r="N372" s="119" t="n">
        <x:f>ROUND((C372-A372-TIME(8,0,0))*1440,1)</x:f>
        <x:v>314.5</x:v>
      </x:c>
    </x:row>
    <x:row r="373" ht="18" customHeight="1">
      <x:c r="A373" s="101" t="n">
        <x:v>46136</x:v>
      </x:c>
      <x:c r="B373" s="76" t="str">
        <x:v>P0372</x:v>
      </x:c>
      <x:c r="C373" s="107" t="n">
        <x:v>46136.55226379629</x:v>
      </x:c>
      <x:c r="D373" s="107" t="n">
        <x:v>46136.55516107639</x:v>
      </x:c>
      <x:c r="E373" s="107" t="n">
        <x:v>46136.558424965275</x:v>
      </x:c>
      <x:c r="F373" s="76" t="str">
        <x:v>registration</x:v>
      </x:c>
      <x:c r="G373" s="113" t="n">
        <x:f>ROUND((E373-D373)*1440,1)</x:f>
        <x:v>4.7</x:v>
      </x:c>
      <x:c r="H373" s="113" t="n">
        <x:f>ROUND((D373-C373)*1440,1)</x:f>
        <x:v>4.2</x:v>
      </x:c>
      <x:c r="I373" s="113" t="n">
        <x:f>ROUND((E373-C373)*1440,1)</x:f>
        <x:v>8.9</x:v>
      </x:c>
      <x:c r="J373" s="113" t="n">
        <x:f>IF(A373=A372,ROUND((C373-C372)*1440,1),0)</x:f>
        <x:v>0.7</x:v>
      </x:c>
      <x:c r="K373" s="76" t="str">
        <x:v>FrontDesk-01</x:v>
      </x:c>
      <x:c r="L373" s="113" t="n">
        <x:f>MAX(0,COUNTIFS($A$2:$A$401,A373,$C$2:$C$401,"&lt;"&amp;C373,$E$2:$E$401,"&gt;"&amp;C373)-1)</x:f>
        <x:v>0</x:v>
      </x:c>
      <x:c r="M373" s="113" t="n">
        <x:f>HOUR(C373)</x:f>
        <x:v>13</x:v>
      </x:c>
      <x:c r="N373" s="119" t="n">
        <x:f>ROUND((C373-A373-TIME(8,0,0))*1440,1)</x:f>
        <x:v>315.3</x:v>
      </x:c>
    </x:row>
    <x:row r="374" ht="18" customHeight="1">
      <x:c r="A374" s="101" t="n">
        <x:v>46136</x:v>
      </x:c>
      <x:c r="B374" s="76" t="str">
        <x:v>P0373</x:v>
      </x:c>
      <x:c r="C374" s="107" t="n">
        <x:v>46136.55845243055</x:v>
      </x:c>
      <x:c r="D374" s="107" t="n">
        <x:v>46136.55845243055</x:v>
      </x:c>
      <x:c r="E374" s="107" t="n">
        <x:v>46136.560327430554</x:v>
      </x:c>
      <x:c r="F374" s="76" t="str">
        <x:v>report_collection</x:v>
      </x:c>
      <x:c r="G374" s="113" t="n">
        <x:f>ROUND((E374-D374)*1440,1)</x:f>
        <x:v>2.7</x:v>
      </x:c>
      <x:c r="H374" s="113" t="n">
        <x:f>ROUND((D374-C374)*1440,1)</x:f>
        <x:v>0</x:v>
      </x:c>
      <x:c r="I374" s="113" t="n">
        <x:f>ROUND((E374-C374)*1440,1)</x:f>
        <x:v>2.7</x:v>
      </x:c>
      <x:c r="J374" s="113" t="n">
        <x:f>IF(A374=A373,ROUND((C374-C373)*1440,1),0)</x:f>
        <x:v>8.9</x:v>
      </x:c>
      <x:c r="K374" s="76" t="str">
        <x:v>FrontDesk-01</x:v>
      </x:c>
      <x:c r="L374" s="113" t="n">
        <x:f>MAX(0,COUNTIFS($A$2:$A$401,A374,$C$2:$C$401,"&lt;"&amp;C374,$E$2:$E$401,"&gt;"&amp;C374)-1)</x:f>
        <x:v>0</x:v>
      </x:c>
      <x:c r="M374" s="113" t="n">
        <x:f>HOUR(C374)</x:f>
        <x:v>13</x:v>
      </x:c>
      <x:c r="N374" s="119" t="n">
        <x:f>ROUND((C374-A374-TIME(8,0,0))*1440,1)</x:f>
        <x:v>324.2</x:v>
      </x:c>
    </x:row>
    <x:row r="375" ht="18" customHeight="1">
      <x:c r="A375" s="101" t="n">
        <x:v>46136</x:v>
      </x:c>
      <x:c r="B375" s="76" t="str">
        <x:v>P0374</x:v>
      </x:c>
      <x:c r="C375" s="107" t="n">
        <x:v>46136.56083700232</x:v>
      </x:c>
      <x:c r="D375" s="107" t="n">
        <x:v>46136.56083700232</x:v>
      </x:c>
      <x:c r="E375" s="107" t="n">
        <x:v>46136.56368422454</x:v>
      </x:c>
      <x:c r="F375" s="76" t="str">
        <x:v>billing_payment</x:v>
      </x:c>
      <x:c r="G375" s="113" t="n">
        <x:f>ROUND((E375-D375)*1440,1)</x:f>
        <x:v>4.1</x:v>
      </x:c>
      <x:c r="H375" s="113" t="n">
        <x:f>ROUND((D375-C375)*1440,1)</x:f>
        <x:v>0</x:v>
      </x:c>
      <x:c r="I375" s="113" t="n">
        <x:f>ROUND((E375-C375)*1440,1)</x:f>
        <x:v>4.1</x:v>
      </x:c>
      <x:c r="J375" s="113" t="n">
        <x:f>IF(A375=A374,ROUND((C375-C374)*1440,1),0)</x:f>
        <x:v>3.4</x:v>
      </x:c>
      <x:c r="K375" s="76" t="str">
        <x:v>FrontDesk-01</x:v>
      </x:c>
      <x:c r="L375" s="113" t="n">
        <x:f>MAX(0,COUNTIFS($A$2:$A$401,A375,$C$2:$C$401,"&lt;"&amp;C375,$E$2:$E$401,"&gt;"&amp;C375)-1)</x:f>
        <x:v>0</x:v>
      </x:c>
      <x:c r="M375" s="113" t="n">
        <x:f>HOUR(C375)</x:f>
        <x:v>13</x:v>
      </x:c>
      <x:c r="N375" s="119" t="n">
        <x:f>ROUND((C375-A375-TIME(8,0,0))*1440,1)</x:f>
        <x:v>327.6</x:v>
      </x:c>
    </x:row>
    <x:row r="376" ht="18" customHeight="1">
      <x:c r="A376" s="101" t="n">
        <x:v>46136</x:v>
      </x:c>
      <x:c r="B376" s="76" t="str">
        <x:v>P0375</x:v>
      </x:c>
      <x:c r="C376" s="107" t="n">
        <x:v>46136.56158123843</x:v>
      </x:c>
      <x:c r="D376" s="107" t="n">
        <x:v>46136.56368422454</x:v>
      </x:c>
      <x:c r="E376" s="107" t="n">
        <x:v>46136.5653508912</x:v>
      </x:c>
      <x:c r="F376" s="76" t="str">
        <x:v>inquiry</x:v>
      </x:c>
      <x:c r="G376" s="113" t="n">
        <x:f>ROUND((E376-D376)*1440,1)</x:f>
        <x:v>2.4</x:v>
      </x:c>
      <x:c r="H376" s="113" t="n">
        <x:f>ROUND((D376-C376)*1440,1)</x:f>
        <x:v>3</x:v>
      </x:c>
      <x:c r="I376" s="113" t="n">
        <x:f>ROUND((E376-C376)*1440,1)</x:f>
        <x:v>5.4</x:v>
      </x:c>
      <x:c r="J376" s="113" t="n">
        <x:f>IF(A376=A375,ROUND((C376-C375)*1440,1),0)</x:f>
        <x:v>1.1</x:v>
      </x:c>
      <x:c r="K376" s="76" t="str">
        <x:v>FrontDesk-01</x:v>
      </x:c>
      <x:c r="L376" s="113" t="n">
        <x:f>MAX(0,COUNTIFS($A$2:$A$401,A376,$C$2:$C$401,"&lt;"&amp;C376,$E$2:$E$401,"&gt;"&amp;C376)-1)</x:f>
        <x:v>0</x:v>
      </x:c>
      <x:c r="M376" s="113" t="n">
        <x:f>HOUR(C376)</x:f>
        <x:v>13</x:v>
      </x:c>
      <x:c r="N376" s="119" t="n">
        <x:f>ROUND((C376-A376-TIME(8,0,0))*1440,1)</x:f>
        <x:v>328.7</x:v>
      </x:c>
    </x:row>
    <x:row r="377" ht="18" customHeight="1">
      <x:c r="A377" s="101" t="n">
        <x:v>46136</x:v>
      </x:c>
      <x:c r="B377" s="76" t="str">
        <x:v>P0376</x:v>
      </x:c>
      <x:c r="C377" s="107" t="n">
        <x:v>46136.56318357639</x:v>
      </x:c>
      <x:c r="D377" s="107" t="n">
        <x:v>46136.5653508912</x:v>
      </x:c>
      <x:c r="E377" s="107" t="n">
        <x:v>46136.568684224534</x:v>
      </x:c>
      <x:c r="F377" s="76" t="str">
        <x:v>sample_submission</x:v>
      </x:c>
      <x:c r="G377" s="113" t="n">
        <x:f>ROUND((E377-D377)*1440,1)</x:f>
        <x:v>4.8</x:v>
      </x:c>
      <x:c r="H377" s="113" t="n">
        <x:f>ROUND((D377-C377)*1440,1)</x:f>
        <x:v>3.1</x:v>
      </x:c>
      <x:c r="I377" s="113" t="n">
        <x:f>ROUND((E377-C377)*1440,1)</x:f>
        <x:v>7.9</x:v>
      </x:c>
      <x:c r="J377" s="113" t="n">
        <x:f>IF(A377=A376,ROUND((C377-C376)*1440,1),0)</x:f>
        <x:v>2.3</x:v>
      </x:c>
      <x:c r="K377" s="76" t="str">
        <x:v>FrontDesk-01</x:v>
      </x:c>
      <x:c r="L377" s="113" t="n">
        <x:f>MAX(0,COUNTIFS($A$2:$A$401,A377,$C$2:$C$401,"&lt;"&amp;C377,$E$2:$E$401,"&gt;"&amp;C377)-1)</x:f>
        <x:v>1</x:v>
      </x:c>
      <x:c r="M377" s="113" t="n">
        <x:f>HOUR(C377)</x:f>
        <x:v>13</x:v>
      </x:c>
      <x:c r="N377" s="119" t="n">
        <x:f>ROUND((C377-A377-TIME(8,0,0))*1440,1)</x:f>
        <x:v>331</x:v>
      </x:c>
    </x:row>
    <x:row r="378" ht="18" customHeight="1">
      <x:c r="A378" s="101" t="n">
        <x:v>46136</x:v>
      </x:c>
      <x:c r="B378" s="76" t="str">
        <x:v>P0377</x:v>
      </x:c>
      <x:c r="C378" s="107" t="n">
        <x:v>46136.56357021991</x:v>
      </x:c>
      <x:c r="D378" s="107" t="n">
        <x:v>46136.568684224534</x:v>
      </x:c>
      <x:c r="E378" s="107" t="n">
        <x:v>46136.57236478009</x:v>
      </x:c>
      <x:c r="F378" s="76" t="str">
        <x:v>registration</x:v>
      </x:c>
      <x:c r="G378" s="113" t="n">
        <x:f>ROUND((E378-D378)*1440,1)</x:f>
        <x:v>5.3</x:v>
      </x:c>
      <x:c r="H378" s="113" t="n">
        <x:f>ROUND((D378-C378)*1440,1)</x:f>
        <x:v>7.4</x:v>
      </x:c>
      <x:c r="I378" s="113" t="n">
        <x:f>ROUND((E378-C378)*1440,1)</x:f>
        <x:v>12.7</x:v>
      </x:c>
      <x:c r="J378" s="113" t="n">
        <x:f>IF(A378=A377,ROUND((C378-C377)*1440,1),0)</x:f>
        <x:v>0.6</x:v>
      </x:c>
      <x:c r="K378" s="76" t="str">
        <x:v>FrontDesk-01</x:v>
      </x:c>
      <x:c r="L378" s="113" t="n">
        <x:f>MAX(0,COUNTIFS($A$2:$A$401,A378,$C$2:$C$401,"&lt;"&amp;C378,$E$2:$E$401,"&gt;"&amp;C378)-1)</x:f>
        <x:v>2</x:v>
      </x:c>
      <x:c r="M378" s="113" t="n">
        <x:f>HOUR(C378)</x:f>
        <x:v>13</x:v>
      </x:c>
      <x:c r="N378" s="119" t="n">
        <x:f>ROUND((C378-A378-TIME(8,0,0))*1440,1)</x:f>
        <x:v>331.5</x:v>
      </x:c>
    </x:row>
    <x:row r="379" ht="18" customHeight="1">
      <x:c r="A379" s="101" t="n">
        <x:v>46136</x:v>
      </x:c>
      <x:c r="B379" s="76" t="str">
        <x:v>P0378</x:v>
      </x:c>
      <x:c r="C379" s="107" t="n">
        <x:v>46136.56980298611</x:v>
      </x:c>
      <x:c r="D379" s="107" t="n">
        <x:v>46136.57236478009</x:v>
      </x:c>
      <x:c r="E379" s="107" t="n">
        <x:v>46136.57576755787</x:v>
      </x:c>
      <x:c r="F379" s="76" t="str">
        <x:v>sample_submission</x:v>
      </x:c>
      <x:c r="G379" s="113" t="n">
        <x:f>ROUND((E379-D379)*1440,1)</x:f>
        <x:v>4.9</x:v>
      </x:c>
      <x:c r="H379" s="113" t="n">
        <x:f>ROUND((D379-C379)*1440,1)</x:f>
        <x:v>3.7</x:v>
      </x:c>
      <x:c r="I379" s="113" t="n">
        <x:f>ROUND((E379-C379)*1440,1)</x:f>
        <x:v>8.6</x:v>
      </x:c>
      <x:c r="J379" s="113" t="n">
        <x:f>IF(A379=A378,ROUND((C379-C378)*1440,1),0)</x:f>
        <x:v>9</x:v>
      </x:c>
      <x:c r="K379" s="76" t="str">
        <x:v>FrontDesk-01</x:v>
      </x:c>
      <x:c r="L379" s="113" t="n">
        <x:f>MAX(0,COUNTIFS($A$2:$A$401,A379,$C$2:$C$401,"&lt;"&amp;C379,$E$2:$E$401,"&gt;"&amp;C379)-1)</x:f>
        <x:v>0</x:v>
      </x:c>
      <x:c r="M379" s="113" t="n">
        <x:f>HOUR(C379)</x:f>
        <x:v>13</x:v>
      </x:c>
      <x:c r="N379" s="119" t="n">
        <x:f>ROUND((C379-A379-TIME(8,0,0))*1440,1)</x:f>
        <x:v>340.5</x:v>
      </x:c>
    </x:row>
    <x:row r="380" ht="18" customHeight="1">
      <x:c r="A380" s="101" t="n">
        <x:v>46136</x:v>
      </x:c>
      <x:c r="B380" s="76" t="str">
        <x:v>P0379</x:v>
      </x:c>
      <x:c r="C380" s="107" t="n">
        <x:v>46136.576240208335</x:v>
      </x:c>
      <x:c r="D380" s="107" t="n">
        <x:v>46136.576240208335</x:v>
      </x:c>
      <x:c r="E380" s="107" t="n">
        <x:v>46136.578809652776</x:v>
      </x:c>
      <x:c r="F380" s="76" t="str">
        <x:v>appointment_booking</x:v>
      </x:c>
      <x:c r="G380" s="113" t="n">
        <x:f>ROUND((E380-D380)*1440,1)</x:f>
        <x:v>3.7</x:v>
      </x:c>
      <x:c r="H380" s="113" t="n">
        <x:f>ROUND((D380-C380)*1440,1)</x:f>
        <x:v>0</x:v>
      </x:c>
      <x:c r="I380" s="113" t="n">
        <x:f>ROUND((E380-C380)*1440,1)</x:f>
        <x:v>3.7</x:v>
      </x:c>
      <x:c r="J380" s="113" t="n">
        <x:f>IF(A380=A379,ROUND((C380-C379)*1440,1),0)</x:f>
        <x:v>9.3</x:v>
      </x:c>
      <x:c r="K380" s="76" t="str">
        <x:v>FrontDesk-01</x:v>
      </x:c>
      <x:c r="L380" s="113" t="n">
        <x:f>MAX(0,COUNTIFS($A$2:$A$401,A380,$C$2:$C$401,"&lt;"&amp;C380,$E$2:$E$401,"&gt;"&amp;C380)-1)</x:f>
        <x:v>0</x:v>
      </x:c>
      <x:c r="M380" s="113" t="n">
        <x:f>HOUR(C380)</x:f>
        <x:v>13</x:v>
      </x:c>
      <x:c r="N380" s="119" t="n">
        <x:f>ROUND((C380-A380-TIME(8,0,0))*1440,1)</x:f>
        <x:v>349.8</x:v>
      </x:c>
    </x:row>
    <x:row r="381" ht="18" customHeight="1">
      <x:c r="A381" s="101" t="n">
        <x:v>46136</x:v>
      </x:c>
      <x:c r="B381" s="76" t="str">
        <x:v>P0380</x:v>
      </x:c>
      <x:c r="C381" s="107" t="n">
        <x:v>46136.576620300926</x:v>
      </x:c>
      <x:c r="D381" s="107" t="n">
        <x:v>46136.578809652776</x:v>
      </x:c>
      <x:c r="E381" s="107" t="n">
        <x:v>46136.582906875</x:v>
      </x:c>
      <x:c r="F381" s="76" t="str">
        <x:v>report_collection</x:v>
      </x:c>
      <x:c r="G381" s="113" t="n">
        <x:f>ROUND((E381-D381)*1440,1)</x:f>
        <x:v>5.9</x:v>
      </x:c>
      <x:c r="H381" s="113" t="n">
        <x:f>ROUND((D381-C381)*1440,1)</x:f>
        <x:v>3.2</x:v>
      </x:c>
      <x:c r="I381" s="113" t="n">
        <x:f>ROUND((E381-C381)*1440,1)</x:f>
        <x:v>9.1</x:v>
      </x:c>
      <x:c r="J381" s="113" t="n">
        <x:f>IF(A381=A380,ROUND((C381-C380)*1440,1),0)</x:f>
        <x:v>0.5</x:v>
      </x:c>
      <x:c r="K381" s="76" t="str">
        <x:v>FrontDesk-01</x:v>
      </x:c>
      <x:c r="L381" s="113" t="n">
        <x:f>MAX(0,COUNTIFS($A$2:$A$401,A381,$C$2:$C$401,"&lt;"&amp;C381,$E$2:$E$401,"&gt;"&amp;C381)-1)</x:f>
        <x:v>0</x:v>
      </x:c>
      <x:c r="M381" s="113" t="n">
        <x:f>HOUR(C381)</x:f>
        <x:v>13</x:v>
      </x:c>
      <x:c r="N381" s="119" t="n">
        <x:f>ROUND((C381-A381-TIME(8,0,0))*1440,1)</x:f>
        <x:v>350.3</x:v>
      </x:c>
    </x:row>
    <x:row r="382" ht="18" customHeight="1">
      <x:c r="A382" s="101" t="n">
        <x:v>46136</x:v>
      </x:c>
      <x:c r="B382" s="76" t="str">
        <x:v>P0381</x:v>
      </x:c>
      <x:c r="C382" s="107" t="n">
        <x:v>46136.57715020833</x:v>
      </x:c>
      <x:c r="D382" s="107" t="n">
        <x:v>46136.582906875</x:v>
      </x:c>
      <x:c r="E382" s="107" t="n">
        <x:v>46136.58644854167</x:v>
      </x:c>
      <x:c r="F382" s="76" t="str">
        <x:v>registration</x:v>
      </x:c>
      <x:c r="G382" s="113" t="n">
        <x:f>ROUND((E382-D382)*1440,1)</x:f>
        <x:v>5.1</x:v>
      </x:c>
      <x:c r="H382" s="113" t="n">
        <x:f>ROUND((D382-C382)*1440,1)</x:f>
        <x:v>8.3</x:v>
      </x:c>
      <x:c r="I382" s="113" t="n">
        <x:f>ROUND((E382-C382)*1440,1)</x:f>
        <x:v>13.4</x:v>
      </x:c>
      <x:c r="J382" s="113" t="n">
        <x:f>IF(A382=A381,ROUND((C382-C381)*1440,1),0)</x:f>
        <x:v>0.8</x:v>
      </x:c>
      <x:c r="K382" s="76" t="str">
        <x:v>FrontDesk-01</x:v>
      </x:c>
      <x:c r="L382" s="113" t="n">
        <x:f>MAX(0,COUNTIFS($A$2:$A$401,A382,$C$2:$C$401,"&lt;"&amp;C382,$E$2:$E$401,"&gt;"&amp;C382)-1)</x:f>
        <x:v>1</x:v>
      </x:c>
      <x:c r="M382" s="113" t="n">
        <x:f>HOUR(C382)</x:f>
        <x:v>13</x:v>
      </x:c>
      <x:c r="N382" s="119" t="n">
        <x:f>ROUND((C382-A382-TIME(8,0,0))*1440,1)</x:f>
        <x:v>351.1</x:v>
      </x:c>
    </x:row>
    <x:row r="383" ht="18" customHeight="1">
      <x:c r="A383" s="101" t="n">
        <x:v>46136</x:v>
      </x:c>
      <x:c r="B383" s="76" t="str">
        <x:v>P0382</x:v>
      </x:c>
      <x:c r="C383" s="107" t="n">
        <x:v>46136.5782578125</x:v>
      </x:c>
      <x:c r="D383" s="107" t="n">
        <x:v>46136.58644854167</x:v>
      </x:c>
      <x:c r="E383" s="107" t="n">
        <x:v>46136.58922631945</x:v>
      </x:c>
      <x:c r="F383" s="76" t="str">
        <x:v>sample_submission</x:v>
      </x:c>
      <x:c r="G383" s="113" t="n">
        <x:f>ROUND((E383-D383)*1440,1)</x:f>
        <x:v>4</x:v>
      </x:c>
      <x:c r="H383" s="113" t="n">
        <x:f>ROUND((D383-C383)*1440,1)</x:f>
        <x:v>11.8</x:v>
      </x:c>
      <x:c r="I383" s="113" t="n">
        <x:f>ROUND((E383-C383)*1440,1)</x:f>
        <x:v>15.8</x:v>
      </x:c>
      <x:c r="J383" s="113" t="n">
        <x:f>IF(A383=A382,ROUND((C383-C382)*1440,1),0)</x:f>
        <x:v>1.6</x:v>
      </x:c>
      <x:c r="K383" s="76" t="str">
        <x:v>FrontDesk-01</x:v>
      </x:c>
      <x:c r="L383" s="113" t="n">
        <x:f>MAX(0,COUNTIFS($A$2:$A$401,A383,$C$2:$C$401,"&lt;"&amp;C383,$E$2:$E$401,"&gt;"&amp;C383)-1)</x:f>
        <x:v>2</x:v>
      </x:c>
      <x:c r="M383" s="113" t="n">
        <x:f>HOUR(C383)</x:f>
        <x:v>13</x:v>
      </x:c>
      <x:c r="N383" s="119" t="n">
        <x:f>ROUND((C383-A383-TIME(8,0,0))*1440,1)</x:f>
        <x:v>352.7</x:v>
      </x:c>
    </x:row>
    <x:row r="384" ht="18" customHeight="1">
      <x:c r="A384" s="101" t="n">
        <x:v>46136</x:v>
      </x:c>
      <x:c r="B384" s="76" t="str">
        <x:v>P0383</x:v>
      </x:c>
      <x:c r="C384" s="107" t="n">
        <x:v>46136.57869364583</x:v>
      </x:c>
      <x:c r="D384" s="107" t="n">
        <x:v>46136.58922631945</x:v>
      </x:c>
      <x:c r="E384" s="107" t="n">
        <x:v>46136.59110131944</x:v>
      </x:c>
      <x:c r="F384" s="76" t="str">
        <x:v>billing_payment</x:v>
      </x:c>
      <x:c r="G384" s="113" t="n">
        <x:f>ROUND((E384-D384)*1440,1)</x:f>
        <x:v>2.7</x:v>
      </x:c>
      <x:c r="H384" s="113" t="n">
        <x:f>ROUND((D384-C384)*1440,1)</x:f>
        <x:v>15.2</x:v>
      </x:c>
      <x:c r="I384" s="113" t="n">
        <x:f>ROUND((E384-C384)*1440,1)</x:f>
        <x:v>17.9</x:v>
      </x:c>
      <x:c r="J384" s="113" t="n">
        <x:f>IF(A384=A383,ROUND((C384-C383)*1440,1),0)</x:f>
        <x:v>0.6</x:v>
      </x:c>
      <x:c r="K384" s="76" t="str">
        <x:v>FrontDesk-01</x:v>
      </x:c>
      <x:c r="L384" s="113" t="n">
        <x:f>MAX(0,COUNTIFS($A$2:$A$401,A384,$C$2:$C$401,"&lt;"&amp;C384,$E$2:$E$401,"&gt;"&amp;C384)-1)</x:f>
        <x:v>3</x:v>
      </x:c>
      <x:c r="M384" s="113" t="n">
        <x:f>HOUR(C384)</x:f>
        <x:v>13</x:v>
      </x:c>
      <x:c r="N384" s="119" t="n">
        <x:f>ROUND((C384-A384-TIME(8,0,0))*1440,1)</x:f>
        <x:v>353.3</x:v>
      </x:c>
    </x:row>
    <x:row r="385" ht="18" customHeight="1">
      <x:c r="A385" s="101" t="n">
        <x:v>46136</x:v>
      </x:c>
      <x:c r="B385" s="76" t="str">
        <x:v>P0384</x:v>
      </x:c>
      <x:c r="C385" s="107" t="n">
        <x:v>46136.57944563658</x:v>
      </x:c>
      <x:c r="D385" s="107" t="n">
        <x:v>46136.59110131944</x:v>
      </x:c>
      <x:c r="E385" s="107" t="n">
        <x:v>46136.59235131944</x:v>
      </x:c>
      <x:c r="F385" s="76" t="str">
        <x:v>report_collection</x:v>
      </x:c>
      <x:c r="G385" s="113" t="n">
        <x:f>ROUND((E385-D385)*1440,1)</x:f>
        <x:v>1.8</x:v>
      </x:c>
      <x:c r="H385" s="113" t="n">
        <x:f>ROUND((D385-C385)*1440,1)</x:f>
        <x:v>16.8</x:v>
      </x:c>
      <x:c r="I385" s="113" t="n">
        <x:f>ROUND((E385-C385)*1440,1)</x:f>
        <x:v>18.6</x:v>
      </x:c>
      <x:c r="J385" s="113" t="n">
        <x:f>IF(A385=A384,ROUND((C385-C384)*1440,1),0)</x:f>
        <x:v>1.1</x:v>
      </x:c>
      <x:c r="K385" s="76" t="str">
        <x:v>FrontDesk-01</x:v>
      </x:c>
      <x:c r="L385" s="113" t="n">
        <x:f>MAX(0,COUNTIFS($A$2:$A$401,A385,$C$2:$C$401,"&lt;"&amp;C385,$E$2:$E$401,"&gt;"&amp;C385)-1)</x:f>
        <x:v>3</x:v>
      </x:c>
      <x:c r="M385" s="113" t="n">
        <x:f>HOUR(C385)</x:f>
        <x:v>13</x:v>
      </x:c>
      <x:c r="N385" s="119" t="n">
        <x:f>ROUND((C385-A385-TIME(8,0,0))*1440,1)</x:f>
        <x:v>354.4</x:v>
      </x:c>
    </x:row>
    <x:row r="386" ht="18" customHeight="1">
      <x:c r="A386" s="101" t="n">
        <x:v>46136</x:v>
      </x:c>
      <x:c r="B386" s="76" t="str">
        <x:v>P0385</x:v>
      </x:c>
      <x:c r="C386" s="107" t="n">
        <x:v>46136.57970362269</x:v>
      </x:c>
      <x:c r="D386" s="107" t="n">
        <x:v>46136.59235131944</x:v>
      </x:c>
      <x:c r="E386" s="107" t="n">
        <x:v>46136.59505965278</x:v>
      </x:c>
      <x:c r="F386" s="76" t="str">
        <x:v>appointment_booking</x:v>
      </x:c>
      <x:c r="G386" s="113" t="n">
        <x:f>ROUND((E386-D386)*1440,1)</x:f>
        <x:v>3.9</x:v>
      </x:c>
      <x:c r="H386" s="113" t="n">
        <x:f>ROUND((D386-C386)*1440,1)</x:f>
        <x:v>18.2</x:v>
      </x:c>
      <x:c r="I386" s="113" t="n">
        <x:f>ROUND((E386-C386)*1440,1)</x:f>
        <x:v>22.1</x:v>
      </x:c>
      <x:c r="J386" s="113" t="n">
        <x:f>IF(A386=A385,ROUND((C386-C385)*1440,1),0)</x:f>
        <x:v>0.4</x:v>
      </x:c>
      <x:c r="K386" s="76" t="str">
        <x:v>FrontDesk-01</x:v>
      </x:c>
      <x:c r="L386" s="113" t="n">
        <x:f>MAX(0,COUNTIFS($A$2:$A$401,A386,$C$2:$C$401,"&lt;"&amp;C386,$E$2:$E$401,"&gt;"&amp;C386)-1)</x:f>
        <x:v>4</x:v>
      </x:c>
      <x:c r="M386" s="113" t="n">
        <x:f>HOUR(C386)</x:f>
        <x:v>13</x:v>
      </x:c>
      <x:c r="N386" s="119" t="n">
        <x:f>ROUND((C386-A386-TIME(8,0,0))*1440,1)</x:f>
        <x:v>354.8</x:v>
      </x:c>
    </x:row>
    <x:row r="387" ht="18" customHeight="1">
      <x:c r="A387" s="101" t="n">
        <x:v>46136</x:v>
      </x:c>
      <x:c r="B387" s="76" t="str">
        <x:v>P0386</x:v>
      </x:c>
      <x:c r="C387" s="107" t="n">
        <x:v>46136.58068357639</x:v>
      </x:c>
      <x:c r="D387" s="107" t="n">
        <x:v>46136.59505965278</x:v>
      </x:c>
      <x:c r="E387" s="107" t="n">
        <x:v>46136.59630965278</x:v>
      </x:c>
      <x:c r="F387" s="76" t="str">
        <x:v>report_collection</x:v>
      </x:c>
      <x:c r="G387" s="113" t="n">
        <x:f>ROUND((E387-D387)*1440,1)</x:f>
        <x:v>1.8</x:v>
      </x:c>
      <x:c r="H387" s="113" t="n">
        <x:f>ROUND((D387-C387)*1440,1)</x:f>
        <x:v>20.7</x:v>
      </x:c>
      <x:c r="I387" s="113" t="n">
        <x:f>ROUND((E387-C387)*1440,1)</x:f>
        <x:v>22.5</x:v>
      </x:c>
      <x:c r="J387" s="113" t="n">
        <x:f>IF(A387=A386,ROUND((C387-C386)*1440,1),0)</x:f>
        <x:v>1.4</x:v>
      </x:c>
      <x:c r="K387" s="76" t="str">
        <x:v>FrontDesk-01</x:v>
      </x:c>
      <x:c r="L387" s="113" t="n">
        <x:f>MAX(0,COUNTIFS($A$2:$A$401,A387,$C$2:$C$401,"&lt;"&amp;C387,$E$2:$E$401,"&gt;"&amp;C387)-1)</x:f>
        <x:v>5</x:v>
      </x:c>
      <x:c r="M387" s="113" t="n">
        <x:f>HOUR(C387)</x:f>
        <x:v>13</x:v>
      </x:c>
      <x:c r="N387" s="119" t="n">
        <x:f>ROUND((C387-A387-TIME(8,0,0))*1440,1)</x:f>
        <x:v>356.2</x:v>
      </x:c>
    </x:row>
    <x:row r="388" ht="18" customHeight="1">
      <x:c r="A388" s="101" t="n">
        <x:v>46136</x:v>
      </x:c>
      <x:c r="B388" s="76" t="str">
        <x:v>P0387</x:v>
      </x:c>
      <x:c r="C388" s="107" t="n">
        <x:v>46136.5834368287</x:v>
      </x:c>
      <x:c r="D388" s="107" t="n">
        <x:v>46136.59630965278</x:v>
      </x:c>
      <x:c r="E388" s="107" t="n">
        <x:v>46136.59964298611</x:v>
      </x:c>
      <x:c r="F388" s="76" t="str">
        <x:v>sample_submission</x:v>
      </x:c>
      <x:c r="G388" s="113" t="n">
        <x:f>ROUND((E388-D388)*1440,1)</x:f>
        <x:v>4.8</x:v>
      </x:c>
      <x:c r="H388" s="113" t="n">
        <x:f>ROUND((D388-C388)*1440,1)</x:f>
        <x:v>18.5</x:v>
      </x:c>
      <x:c r="I388" s="113" t="n">
        <x:f>ROUND((E388-C388)*1440,1)</x:f>
        <x:v>23.3</x:v>
      </x:c>
      <x:c r="J388" s="113" t="n">
        <x:f>IF(A388=A387,ROUND((C388-C387)*1440,1),0)</x:f>
        <x:v>4</x:v>
      </x:c>
      <x:c r="K388" s="76" t="str">
        <x:v>FrontDesk-01</x:v>
      </x:c>
      <x:c r="L388" s="113" t="n">
        <x:f>MAX(0,COUNTIFS($A$2:$A$401,A388,$C$2:$C$401,"&lt;"&amp;C388,$E$2:$E$401,"&gt;"&amp;C388)-1)</x:f>
        <x:v>5</x:v>
      </x:c>
      <x:c r="M388" s="113" t="n">
        <x:f>HOUR(C388)</x:f>
        <x:v>14</x:v>
      </x:c>
      <x:c r="N388" s="119" t="n">
        <x:f>ROUND((C388-A388-TIME(8,0,0))*1440,1)</x:f>
        <x:v>360.1</x:v>
      </x:c>
    </x:row>
    <x:row r="389" ht="18" customHeight="1">
      <x:c r="A389" s="101" t="n">
        <x:v>46136</x:v>
      </x:c>
      <x:c r="B389" s="76" t="str">
        <x:v>P0388</x:v>
      </x:c>
      <x:c r="C389" s="107" t="n">
        <x:v>46136.583615358795</x:v>
      </x:c>
      <x:c r="D389" s="107" t="n">
        <x:v>46136.59964298611</x:v>
      </x:c>
      <x:c r="E389" s="107" t="n">
        <x:v>46136.601031875</x:v>
      </x:c>
      <x:c r="F389" s="76" t="str">
        <x:v>report_collection</x:v>
      </x:c>
      <x:c r="G389" s="113" t="n">
        <x:f>ROUND((E389-D389)*1440,1)</x:f>
        <x:v>2</x:v>
      </x:c>
      <x:c r="H389" s="113" t="n">
        <x:f>ROUND((D389-C389)*1440,1)</x:f>
        <x:v>23.1</x:v>
      </x:c>
      <x:c r="I389" s="113" t="n">
        <x:f>ROUND((E389-C389)*1440,1)</x:f>
        <x:v>25.1</x:v>
      </x:c>
      <x:c r="J389" s="113" t="n">
        <x:f>IF(A389=A388,ROUND((C389-C388)*1440,1),0)</x:f>
        <x:v>0.3</x:v>
      </x:c>
      <x:c r="K389" s="76" t="str">
        <x:v>FrontDesk-01</x:v>
      </x:c>
      <x:c r="L389" s="113" t="n">
        <x:f>MAX(0,COUNTIFS($A$2:$A$401,A389,$C$2:$C$401,"&lt;"&amp;C389,$E$2:$E$401,"&gt;"&amp;C389)-1)</x:f>
        <x:v>6</x:v>
      </x:c>
      <x:c r="M389" s="113" t="n">
        <x:f>HOUR(C389)</x:f>
        <x:v>14</x:v>
      </x:c>
      <x:c r="N389" s="119" t="n">
        <x:f>ROUND((C389-A389-TIME(8,0,0))*1440,1)</x:f>
        <x:v>360.4</x:v>
      </x:c>
    </x:row>
    <x:row r="390" ht="18" customHeight="1">
      <x:c r="A390" s="101" t="n">
        <x:v>46136</x:v>
      </x:c>
      <x:c r="B390" s="76" t="str">
        <x:v>P0389</x:v>
      </x:c>
      <x:c r="C390" s="107" t="n">
        <x:v>46136.59758392361</x:v>
      </x:c>
      <x:c r="D390" s="107" t="n">
        <x:v>46136.601031875</x:v>
      </x:c>
      <x:c r="E390" s="107" t="n">
        <x:v>46136.601934652776</x:v>
      </x:c>
      <x:c r="F390" s="76" t="str">
        <x:v>inquiry</x:v>
      </x:c>
      <x:c r="G390" s="113" t="n">
        <x:f>ROUND((E390-D390)*1440,1)</x:f>
        <x:v>1.3</x:v>
      </x:c>
      <x:c r="H390" s="113" t="n">
        <x:f>ROUND((D390-C390)*1440,1)</x:f>
        <x:v>5</x:v>
      </x:c>
      <x:c r="I390" s="113" t="n">
        <x:f>ROUND((E390-C390)*1440,1)</x:f>
        <x:v>6.3</x:v>
      </x:c>
      <x:c r="J390" s="113" t="n">
        <x:f>IF(A390=A389,ROUND((C390-C389)*1440,1),0)</x:f>
        <x:v>20.1</x:v>
      </x:c>
      <x:c r="K390" s="76" t="str">
        <x:v>FrontDesk-01</x:v>
      </x:c>
      <x:c r="L390" s="113" t="n">
        <x:f>MAX(0,COUNTIFS($A$2:$A$401,A390,$C$2:$C$401,"&lt;"&amp;C390,$E$2:$E$401,"&gt;"&amp;C390)-1)</x:f>
        <x:v>1</x:v>
      </x:c>
      <x:c r="M390" s="113" t="n">
        <x:f>HOUR(C390)</x:f>
        <x:v>14</x:v>
      </x:c>
      <x:c r="N390" s="119" t="n">
        <x:f>ROUND((C390-A390-TIME(8,0,0))*1440,1)</x:f>
        <x:v>380.5</x:v>
      </x:c>
    </x:row>
    <x:row r="391" ht="18" customHeight="1">
      <x:c r="A391" s="101" t="n">
        <x:v>46136</x:v>
      </x:c>
      <x:c r="B391" s="76" t="str">
        <x:v>P0390</x:v>
      </x:c>
      <x:c r="C391" s="107" t="n">
        <x:v>46136.605087592594</x:v>
      </x:c>
      <x:c r="D391" s="107" t="n">
        <x:v>46136.605087592594</x:v>
      </x:c>
      <x:c r="E391" s="107" t="n">
        <x:v>46136.608698703705</x:v>
      </x:c>
      <x:c r="F391" s="76" t="str">
        <x:v>sample_submission</x:v>
      </x:c>
      <x:c r="G391" s="113" t="n">
        <x:f>ROUND((E391-D391)*1440,1)</x:f>
        <x:v>5.2</x:v>
      </x:c>
      <x:c r="H391" s="113" t="n">
        <x:f>ROUND((D391-C391)*1440,1)</x:f>
        <x:v>0</x:v>
      </x:c>
      <x:c r="I391" s="113" t="n">
        <x:f>ROUND((E391-C391)*1440,1)</x:f>
        <x:v>5.2</x:v>
      </x:c>
      <x:c r="J391" s="113" t="n">
        <x:f>IF(A391=A390,ROUND((C391-C390)*1440,1),0)</x:f>
        <x:v>10.8</x:v>
      </x:c>
      <x:c r="K391" s="76" t="str">
        <x:v>FrontDesk-01</x:v>
      </x:c>
      <x:c r="L391" s="113" t="n">
        <x:f>MAX(0,COUNTIFS($A$2:$A$401,A391,$C$2:$C$401,"&lt;"&amp;C391,$E$2:$E$401,"&gt;"&amp;C391)-1)</x:f>
        <x:v>0</x:v>
      </x:c>
      <x:c r="M391" s="113" t="n">
        <x:f>HOUR(C391)</x:f>
        <x:v>14</x:v>
      </x:c>
      <x:c r="N391" s="119" t="n">
        <x:f>ROUND((C391-A391-TIME(8,0,0))*1440,1)</x:f>
        <x:v>391.3</x:v>
      </x:c>
    </x:row>
    <x:row r="392" ht="18" customHeight="1">
      <x:c r="A392" s="101" t="n">
        <x:v>46136</x:v>
      </x:c>
      <x:c r="B392" s="76" t="str">
        <x:v>P0391</x:v>
      </x:c>
      <x:c r="C392" s="107" t="n">
        <x:v>46136.60522334491</x:v>
      </x:c>
      <x:c r="D392" s="107" t="n">
        <x:v>46136.608698703705</x:v>
      </x:c>
      <x:c r="E392" s="107" t="n">
        <x:v>46136.610851481484</x:v>
      </x:c>
      <x:c r="F392" s="76" t="str">
        <x:v>registration</x:v>
      </x:c>
      <x:c r="G392" s="113" t="n">
        <x:f>ROUND((E392-D392)*1440,1)</x:f>
        <x:v>3.1</x:v>
      </x:c>
      <x:c r="H392" s="113" t="n">
        <x:f>ROUND((D392-C392)*1440,1)</x:f>
        <x:v>5</x:v>
      </x:c>
      <x:c r="I392" s="113" t="n">
        <x:f>ROUND((E392-C392)*1440,1)</x:f>
        <x:v>8.1</x:v>
      </x:c>
      <x:c r="J392" s="113" t="n">
        <x:f>IF(A392=A391,ROUND((C392-C391)*1440,1),0)</x:f>
        <x:v>0.2</x:v>
      </x:c>
      <x:c r="K392" s="76" t="str">
        <x:v>FrontDesk-01</x:v>
      </x:c>
      <x:c r="L392" s="113" t="n">
        <x:f>MAX(0,COUNTIFS($A$2:$A$401,A392,$C$2:$C$401,"&lt;"&amp;C392,$E$2:$E$401,"&gt;"&amp;C392)-1)</x:f>
        <x:v>0</x:v>
      </x:c>
      <x:c r="M392" s="113" t="n">
        <x:f>HOUR(C392)</x:f>
        <x:v>14</x:v>
      </x:c>
      <x:c r="N392" s="119" t="n">
        <x:f>ROUND((C392-A392-TIME(8,0,0))*1440,1)</x:f>
        <x:v>391.5</x:v>
      </x:c>
    </x:row>
    <x:row r="393" ht="18" customHeight="1">
      <x:c r="A393" s="101" t="n">
        <x:v>46136</x:v>
      </x:c>
      <x:c r="B393" s="76" t="str">
        <x:v>P0392</x:v>
      </x:c>
      <x:c r="C393" s="107" t="n">
        <x:v>46136.61631842593</x:v>
      </x:c>
      <x:c r="D393" s="107" t="n">
        <x:v>46136.61631842593</x:v>
      </x:c>
      <x:c r="E393" s="107" t="n">
        <x:v>46136.617221203705</x:v>
      </x:c>
      <x:c r="F393" s="76" t="str">
        <x:v>inquiry</x:v>
      </x:c>
      <x:c r="G393" s="113" t="n">
        <x:f>ROUND((E393-D393)*1440,1)</x:f>
        <x:v>1.3</x:v>
      </x:c>
      <x:c r="H393" s="113" t="n">
        <x:f>ROUND((D393-C393)*1440,1)</x:f>
        <x:v>0</x:v>
      </x:c>
      <x:c r="I393" s="113" t="n">
        <x:f>ROUND((E393-C393)*1440,1)</x:f>
        <x:v>1.3</x:v>
      </x:c>
      <x:c r="J393" s="113" t="n">
        <x:f>IF(A393=A392,ROUND((C393-C392)*1440,1),0)</x:f>
        <x:v>16</x:v>
      </x:c>
      <x:c r="K393" s="76" t="str">
        <x:v>FrontDesk-01</x:v>
      </x:c>
      <x:c r="L393" s="113" t="n">
        <x:f>MAX(0,COUNTIFS($A$2:$A$401,A393,$C$2:$C$401,"&lt;"&amp;C393,$E$2:$E$401,"&gt;"&amp;C393)-1)</x:f>
        <x:v>0</x:v>
      </x:c>
      <x:c r="M393" s="113" t="n">
        <x:f>HOUR(C393)</x:f>
        <x:v>14</x:v>
      </x:c>
      <x:c r="N393" s="119" t="n">
        <x:f>ROUND((C393-A393-TIME(8,0,0))*1440,1)</x:f>
        <x:v>407.5</x:v>
      </x:c>
    </x:row>
    <x:row r="394" ht="18" customHeight="1">
      <x:c r="A394" s="101" t="n">
        <x:v>46136</x:v>
      </x:c>
      <x:c r="B394" s="76" t="str">
        <x:v>P0393</x:v>
      </x:c>
      <x:c r="C394" s="107" t="n">
        <x:v>46136.62053231482</x:v>
      </x:c>
      <x:c r="D394" s="107" t="n">
        <x:v>46136.62053231482</x:v>
      </x:c>
      <x:c r="E394" s="107" t="n">
        <x:v>46136.62483787037</x:v>
      </x:c>
      <x:c r="F394" s="76" t="str">
        <x:v>sample_submission</x:v>
      </x:c>
      <x:c r="G394" s="113" t="n">
        <x:f>ROUND((E394-D394)*1440,1)</x:f>
        <x:v>6.2</x:v>
      </x:c>
      <x:c r="H394" s="113" t="n">
        <x:f>ROUND((D394-C394)*1440,1)</x:f>
        <x:v>0</x:v>
      </x:c>
      <x:c r="I394" s="113" t="n">
        <x:f>ROUND((E394-C394)*1440,1)</x:f>
        <x:v>6.2</x:v>
      </x:c>
      <x:c r="J394" s="113" t="n">
        <x:f>IF(A394=A393,ROUND((C394-C393)*1440,1),0)</x:f>
        <x:v>6.1</x:v>
      </x:c>
      <x:c r="K394" s="76" t="str">
        <x:v>FrontDesk-01</x:v>
      </x:c>
      <x:c r="L394" s="113" t="n">
        <x:f>MAX(0,COUNTIFS($A$2:$A$401,A394,$C$2:$C$401,"&lt;"&amp;C394,$E$2:$E$401,"&gt;"&amp;C394)-1)</x:f>
        <x:v>0</x:v>
      </x:c>
      <x:c r="M394" s="113" t="n">
        <x:f>HOUR(C394)</x:f>
        <x:v>14</x:v>
      </x:c>
      <x:c r="N394" s="119" t="n">
        <x:f>ROUND((C394-A394-TIME(8,0,0))*1440,1)</x:f>
        <x:v>413.6</x:v>
      </x:c>
    </x:row>
    <x:row r="395" ht="18" customHeight="1">
      <x:c r="A395" s="101" t="n">
        <x:v>46136</x:v>
      </x:c>
      <x:c r="B395" s="76" t="str">
        <x:v>P0394</x:v>
      </x:c>
      <x:c r="C395" s="107" t="n">
        <x:v>46136.63502498843</x:v>
      </x:c>
      <x:c r="D395" s="107" t="n">
        <x:v>46136.63502498843</x:v>
      </x:c>
      <x:c r="E395" s="107" t="n">
        <x:v>46136.63578887731</x:v>
      </x:c>
      <x:c r="F395" s="76" t="str">
        <x:v>inquiry</x:v>
      </x:c>
      <x:c r="G395" s="113" t="n">
        <x:f>ROUND((E395-D395)*1440,1)</x:f>
        <x:v>1.1</x:v>
      </x:c>
      <x:c r="H395" s="113" t="n">
        <x:f>ROUND((D395-C395)*1440,1)</x:f>
        <x:v>0</x:v>
      </x:c>
      <x:c r="I395" s="113" t="n">
        <x:f>ROUND((E395-C395)*1440,1)</x:f>
        <x:v>1.1</x:v>
      </x:c>
      <x:c r="J395" s="113" t="n">
        <x:f>IF(A395=A394,ROUND((C395-C394)*1440,1),0)</x:f>
        <x:v>20.9</x:v>
      </x:c>
      <x:c r="K395" s="76" t="str">
        <x:v>FrontDesk-01</x:v>
      </x:c>
      <x:c r="L395" s="113" t="n">
        <x:f>MAX(0,COUNTIFS($A$2:$A$401,A395,$C$2:$C$401,"&lt;"&amp;C395,$E$2:$E$401,"&gt;"&amp;C395)-1)</x:f>
        <x:v>0</x:v>
      </x:c>
      <x:c r="M395" s="113" t="n">
        <x:f>HOUR(C395)</x:f>
        <x:v>15</x:v>
      </x:c>
      <x:c r="N395" s="119" t="n">
        <x:f>ROUND((C395-A395-TIME(8,0,0))*1440,1)</x:f>
        <x:v>434.4</x:v>
      </x:c>
    </x:row>
    <x:row r="396" ht="18" customHeight="1">
      <x:c r="A396" s="101" t="n">
        <x:v>46136</x:v>
      </x:c>
      <x:c r="B396" s="76" t="str">
        <x:v>P0395</x:v>
      </x:c>
      <x:c r="C396" s="107" t="n">
        <x:v>46136.638567974536</x:v>
      </x:c>
      <x:c r="D396" s="107" t="n">
        <x:v>46136.638567974536</x:v>
      </x:c>
      <x:c r="E396" s="107" t="n">
        <x:v>46136.64141519676</x:v>
      </x:c>
      <x:c r="F396" s="76" t="str">
        <x:v>registration</x:v>
      </x:c>
      <x:c r="G396" s="113" t="n">
        <x:f>ROUND((E396-D396)*1440,1)</x:f>
        <x:v>4.1</x:v>
      </x:c>
      <x:c r="H396" s="113" t="n">
        <x:f>ROUND((D396-C396)*1440,1)</x:f>
        <x:v>0</x:v>
      </x:c>
      <x:c r="I396" s="113" t="n">
        <x:f>ROUND((E396-C396)*1440,1)</x:f>
        <x:v>4.1</x:v>
      </x:c>
      <x:c r="J396" s="113" t="n">
        <x:f>IF(A396=A395,ROUND((C396-C395)*1440,1),0)</x:f>
        <x:v>5.1</x:v>
      </x:c>
      <x:c r="K396" s="76" t="str">
        <x:v>FrontDesk-01</x:v>
      </x:c>
      <x:c r="L396" s="113" t="n">
        <x:f>MAX(0,COUNTIFS($A$2:$A$401,A396,$C$2:$C$401,"&lt;"&amp;C396,$E$2:$E$401,"&gt;"&amp;C396)-1)</x:f>
        <x:v>0</x:v>
      </x:c>
      <x:c r="M396" s="113" t="n">
        <x:f>HOUR(C396)</x:f>
        <x:v>15</x:v>
      </x:c>
      <x:c r="N396" s="119" t="n">
        <x:f>ROUND((C396-A396-TIME(8,0,0))*1440,1)</x:f>
        <x:v>439.5</x:v>
      </x:c>
    </x:row>
    <x:row r="397" ht="18" customHeight="1">
      <x:c r="A397" s="101" t="n">
        <x:v>46136</x:v>
      </x:c>
      <x:c r="B397" s="76" t="str">
        <x:v>P0396</x:v>
      </x:c>
      <x:c r="C397" s="107" t="n">
        <x:v>46136.64256820602</x:v>
      </x:c>
      <x:c r="D397" s="107" t="n">
        <x:v>46136.64256820602</x:v>
      </x:c>
      <x:c r="E397" s="107" t="n">
        <x:v>46136.64430431713</x:v>
      </x:c>
      <x:c r="F397" s="76" t="str">
        <x:v>report_collection</x:v>
      </x:c>
      <x:c r="G397" s="113" t="n">
        <x:f>ROUND((E397-D397)*1440,1)</x:f>
        <x:v>2.5</x:v>
      </x:c>
      <x:c r="H397" s="113" t="n">
        <x:f>ROUND((D397-C397)*1440,1)</x:f>
        <x:v>0</x:v>
      </x:c>
      <x:c r="I397" s="113" t="n">
        <x:f>ROUND((E397-C397)*1440,1)</x:f>
        <x:v>2.5</x:v>
      </x:c>
      <x:c r="J397" s="113" t="n">
        <x:f>IF(A397=A396,ROUND((C397-C396)*1440,1),0)</x:f>
        <x:v>5.8</x:v>
      </x:c>
      <x:c r="K397" s="76" t="str">
        <x:v>FrontDesk-01</x:v>
      </x:c>
      <x:c r="L397" s="113" t="n">
        <x:f>MAX(0,COUNTIFS($A$2:$A$401,A397,$C$2:$C$401,"&lt;"&amp;C397,$E$2:$E$401,"&gt;"&amp;C397)-1)</x:f>
        <x:v>0</x:v>
      </x:c>
      <x:c r="M397" s="113" t="n">
        <x:f>HOUR(C397)</x:f>
        <x:v>15</x:v>
      </x:c>
      <x:c r="N397" s="119" t="n">
        <x:f>ROUND((C397-A397-TIME(8,0,0))*1440,1)</x:f>
        <x:v>445.3</x:v>
      </x:c>
    </x:row>
    <x:row r="398" ht="18" customHeight="1">
      <x:c r="A398" s="101" t="n">
        <x:v>46136</x:v>
      </x:c>
      <x:c r="B398" s="76" t="str">
        <x:v>P0397</x:v>
      </x:c>
      <x:c r="C398" s="107" t="n">
        <x:v>46136.6431693287</x:v>
      </x:c>
      <x:c r="D398" s="107" t="n">
        <x:v>46136.64430431713</x:v>
      </x:c>
      <x:c r="E398" s="107" t="n">
        <x:v>46136.64735987269</x:v>
      </x:c>
      <x:c r="F398" s="76" t="str">
        <x:v>sample_submission</x:v>
      </x:c>
      <x:c r="G398" s="113" t="n">
        <x:f>ROUND((E398-D398)*1440,1)</x:f>
        <x:v>4.4</x:v>
      </x:c>
      <x:c r="H398" s="113" t="n">
        <x:f>ROUND((D398-C398)*1440,1)</x:f>
        <x:v>1.6</x:v>
      </x:c>
      <x:c r="I398" s="113" t="n">
        <x:f>ROUND((E398-C398)*1440,1)</x:f>
        <x:v>6</x:v>
      </x:c>
      <x:c r="J398" s="113" t="n">
        <x:f>IF(A398=A397,ROUND((C398-C397)*1440,1),0)</x:f>
        <x:v>0.9</x:v>
      </x:c>
      <x:c r="K398" s="76" t="str">
        <x:v>FrontDesk-01</x:v>
      </x:c>
      <x:c r="L398" s="113" t="n">
        <x:f>MAX(0,COUNTIFS($A$2:$A$401,A398,$C$2:$C$401,"&lt;"&amp;C398,$E$2:$E$401,"&gt;"&amp;C398)-1)</x:f>
        <x:v>0</x:v>
      </x:c>
      <x:c r="M398" s="113" t="n">
        <x:f>HOUR(C398)</x:f>
        <x:v>15</x:v>
      </x:c>
      <x:c r="N398" s="119" t="n">
        <x:f>ROUND((C398-A398-TIME(8,0,0))*1440,1)</x:f>
        <x:v>446.2</x:v>
      </x:c>
    </x:row>
    <x:row r="399" ht="18" customHeight="1">
      <x:c r="A399" s="101" t="n">
        <x:v>46136</x:v>
      </x:c>
      <x:c r="B399" s="76" t="str">
        <x:v>P0398</x:v>
      </x:c>
      <x:c r="C399" s="107" t="n">
        <x:v>46136.645463483794</x:v>
      </x:c>
      <x:c r="D399" s="107" t="n">
        <x:v>46136.64735987269</x:v>
      </x:c>
      <x:c r="E399" s="107" t="n">
        <x:v>46136.648748761574</x:v>
      </x:c>
      <x:c r="F399" s="76" t="str">
        <x:v>inquiry</x:v>
      </x:c>
      <x:c r="G399" s="113" t="n">
        <x:f>ROUND((E399-D399)*1440,1)</x:f>
        <x:v>2</x:v>
      </x:c>
      <x:c r="H399" s="113" t="n">
        <x:f>ROUND((D399-C399)*1440,1)</x:f>
        <x:v>2.7</x:v>
      </x:c>
      <x:c r="I399" s="113" t="n">
        <x:f>ROUND((E399-C399)*1440,1)</x:f>
        <x:v>4.7</x:v>
      </x:c>
      <x:c r="J399" s="113" t="n">
        <x:f>IF(A399=A398,ROUND((C399-C398)*1440,1),0)</x:f>
        <x:v>3.3</x:v>
      </x:c>
      <x:c r="K399" s="76" t="str">
        <x:v>FrontDesk-01</x:v>
      </x:c>
      <x:c r="L399" s="113" t="n">
        <x:f>MAX(0,COUNTIFS($A$2:$A$401,A399,$C$2:$C$401,"&lt;"&amp;C399,$E$2:$E$401,"&gt;"&amp;C399)-1)</x:f>
        <x:v>0</x:v>
      </x:c>
      <x:c r="M399" s="113" t="n">
        <x:f>HOUR(C399)</x:f>
        <x:v>15</x:v>
      </x:c>
      <x:c r="N399" s="119" t="n">
        <x:f>ROUND((C399-A399-TIME(8,0,0))*1440,1)</x:f>
        <x:v>449.5</x:v>
      </x:c>
    </x:row>
    <x:row r="400" ht="18" customHeight="1">
      <x:c r="A400" s="101" t="n">
        <x:v>46136</x:v>
      </x:c>
      <x:c r="B400" s="76" t="str">
        <x:v>P0399</x:v>
      </x:c>
      <x:c r="C400" s="107" t="n">
        <x:v>46136.64879827546</x:v>
      </x:c>
      <x:c r="D400" s="107" t="n">
        <x:v>46136.64879827546</x:v>
      </x:c>
      <x:c r="E400" s="107" t="n">
        <x:v>46136.64990938657</x:v>
      </x:c>
      <x:c r="F400" s="76" t="str">
        <x:v>report_collection</x:v>
      </x:c>
      <x:c r="G400" s="113" t="n">
        <x:f>ROUND((E400-D400)*1440,1)</x:f>
        <x:v>1.6</x:v>
      </x:c>
      <x:c r="H400" s="113" t="n">
        <x:f>ROUND((D400-C400)*1440,1)</x:f>
        <x:v>0</x:v>
      </x:c>
      <x:c r="I400" s="113" t="n">
        <x:f>ROUND((E400-C400)*1440,1)</x:f>
        <x:v>1.6</x:v>
      </x:c>
      <x:c r="J400" s="113" t="n">
        <x:f>IF(A400=A399,ROUND((C400-C399)*1440,1),0)</x:f>
        <x:v>4.8</x:v>
      </x:c>
      <x:c r="K400" s="76" t="str">
        <x:v>FrontDesk-01</x:v>
      </x:c>
      <x:c r="L400" s="113" t="n">
        <x:f>MAX(0,COUNTIFS($A$2:$A$401,A400,$C$2:$C$401,"&lt;"&amp;C400,$E$2:$E$401,"&gt;"&amp;C400)-1)</x:f>
        <x:v>0</x:v>
      </x:c>
      <x:c r="M400" s="113" t="n">
        <x:f>HOUR(C400)</x:f>
        <x:v>15</x:v>
      </x:c>
      <x:c r="N400" s="119" t="n">
        <x:f>ROUND((C400-A400-TIME(8,0,0))*1440,1)</x:f>
        <x:v>454.3</x:v>
      </x:c>
    </x:row>
    <x:row r="401" ht="18" customHeight="1">
      <x:c r="A401" s="102" t="n">
        <x:v>46136</x:v>
      </x:c>
      <x:c r="B401" s="79" t="str">
        <x:v>P0400</x:v>
      </x:c>
      <x:c r="C401" s="108" t="n">
        <x:v>46136.66284152778</x:v>
      </x:c>
      <x:c r="D401" s="108" t="n">
        <x:v>46136.66284152778</x:v>
      </x:c>
      <x:c r="E401" s="108" t="n">
        <x:v>46136.66416097222</x:v>
      </x:c>
      <x:c r="F401" s="79" t="str">
        <x:v>report_collection</x:v>
      </x:c>
      <x:c r="G401" s="114" t="n">
        <x:f>ROUND((E401-D401)*1440,1)</x:f>
        <x:v>1.9</x:v>
      </x:c>
      <x:c r="H401" s="114" t="n">
        <x:f>ROUND((D401-C401)*1440,1)</x:f>
        <x:v>0</x:v>
      </x:c>
      <x:c r="I401" s="114" t="n">
        <x:f>ROUND((E401-C401)*1440,1)</x:f>
        <x:v>1.9</x:v>
      </x:c>
      <x:c r="J401" s="114" t="n">
        <x:f>IF(A401=A400,ROUND((C401-C400)*1440,1),0)</x:f>
        <x:v>20.2</x:v>
      </x:c>
      <x:c r="K401" s="79" t="str">
        <x:v>FrontDesk-01</x:v>
      </x:c>
      <x:c r="L401" s="114" t="n">
        <x:f>MAX(0,COUNTIFS($A$2:$A$401,A401,$C$2:$C$401,"&lt;"&amp;C401,$E$2:$E$401,"&gt;"&amp;C401)-1)</x:f>
        <x:v>0</x:v>
      </x:c>
      <x:c r="M401" s="114" t="n">
        <x:f>HOUR(C401)</x:f>
        <x:v>15</x:v>
      </x:c>
      <x:c r="N401" s="120" t="n">
        <x:f>ROUND((C401-A401-TIME(8,0,0))*1440,1)</x:f>
        <x:v>474.5</x:v>
      </x:c>
    </x:row>
  </x:sheetData>
  <x:conditionalFormatting sqref="H2:H401">
    <x:cfRule type="colorScale" priority="1">
      <x:colorScale>
        <x:cfvo type="min"/>
        <x:cfvo type="percentile" val="60"/>
        <x:cfvo type="max"/>
        <x:color rgb="DCFCE7"/>
        <x:color rgb="FEF3C7"/>
        <x:color rgb="FECACA"/>
      </x:colorScale>
    </x:cfRule>
  </x:conditionalFormatting>
  <x:conditionalFormatting sqref="L2:L401">
    <x:cfRule type="dataBar" priority="2">
      <x:dataBar>
        <x:cfvo type="min"/>
        <x:cfvo type="max"/>
        <x:color rgb="93C5FD"/>
      </x:dataBar>
      <x:extLst>
        <x:ext xmlns:x14="http://schemas.microsoft.com/office/spreadsheetml/2009/9/main" uri="{B025F937-C7B1-47D3-B67F-A62EFF666E3E}">
          <x14:id>{7F19385E-04BB-D7C9-E50A-E717198CE058}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4df6c0b5f2340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F19385E-04BB-D7C9-E50A-E717198CE058}">
            <x14:dataBar gradient="1">
              <x14:cfvo type="min"/>
              <x14:cfvo type="max"/>
              <x14:fillColor rgb="93C5FD"/>
            </x14:dataBar>
          </x14:cfRule>
          <xm:sqref>L2:L401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135" t="str">
        <x:v>customer_id</x:v>
      </x:c>
      <x:c r="B1" s="136" t="str">
        <x:v>date</x:v>
      </x:c>
      <x:c r="C1" s="136" t="str">
        <x:v>arrival_minute_from_open</x:v>
      </x:c>
      <x:c r="D1" s="136" t="str">
        <x:v>inter_arrival_min</x:v>
      </x:c>
      <x:c r="E1" s="136" t="str">
        <x:v>service_duration_min</x:v>
      </x:c>
      <x:c r="F1" s="137" t="str">
        <x:v>customer_type</x:v>
      </x:c>
    </x:row>
    <x:row r="2" ht="18" customHeight="1">
      <x:c r="A2" s="63" t="str">
        <x:f>Synthetic_Data!B2</x:f>
        <x:v>P0001</x:v>
      </x:c>
      <x:c r="B2" s="152" t="n">
        <x:f>Synthetic_Data!A2</x:f>
        <x:v>46132</x:v>
      </x:c>
      <x:c r="C2" s="158" t="n">
        <x:f>Synthetic_Data!N2</x:f>
        <x:v>0.8</x:v>
      </x:c>
      <x:c r="D2" s="158" t="n">
        <x:f>Synthetic_Data!J2</x:f>
        <x:v>0</x:v>
      </x:c>
      <x:c r="E2" s="158" t="n">
        <x:f>Synthetic_Data!G2</x:f>
        <x:v>4.8</x:v>
      </x:c>
      <x:c r="F2" s="65" t="str">
        <x:f>Synthetic_Data!F2</x:f>
        <x:v>sample_submission</x:v>
      </x:c>
    </x:row>
    <x:row r="3" ht="18" customHeight="1">
      <x:c r="A3" s="66" t="str">
        <x:f>Synthetic_Data!B3</x:f>
        <x:v>P0002</x:v>
      </x:c>
      <x:c r="B3" s="153" t="n">
        <x:f>Synthetic_Data!A3</x:f>
        <x:v>46132</x:v>
      </x:c>
      <x:c r="C3" s="159" t="n">
        <x:f>Synthetic_Data!N3</x:f>
        <x:v>3.2</x:v>
      </x:c>
      <x:c r="D3" s="159" t="n">
        <x:f>Synthetic_Data!J3</x:f>
        <x:v>2.4</x:v>
      </x:c>
      <x:c r="E3" s="159" t="n">
        <x:f>Synthetic_Data!G3</x:f>
        <x:v>4.2</x:v>
      </x:c>
      <x:c r="F3" s="68" t="str">
        <x:f>Synthetic_Data!F3</x:f>
        <x:v>sample_submission</x:v>
      </x:c>
    </x:row>
    <x:row r="4" ht="18" customHeight="1">
      <x:c r="A4" s="66" t="str">
        <x:f>Synthetic_Data!B4</x:f>
        <x:v>P0003</x:v>
      </x:c>
      <x:c r="B4" s="153" t="n">
        <x:f>Synthetic_Data!A4</x:f>
        <x:v>46132</x:v>
      </x:c>
      <x:c r="C4" s="159" t="n">
        <x:f>Synthetic_Data!N4</x:f>
        <x:v>13.5</x:v>
      </x:c>
      <x:c r="D4" s="159" t="n">
        <x:f>Synthetic_Data!J4</x:f>
        <x:v>10.3</x:v>
      </x:c>
      <x:c r="E4" s="159" t="n">
        <x:f>Synthetic_Data!G4</x:f>
        <x:v>5.3</x:v>
      </x:c>
      <x:c r="F4" s="68" t="str">
        <x:f>Synthetic_Data!F4</x:f>
        <x:v>sample_submission</x:v>
      </x:c>
    </x:row>
    <x:row r="5" ht="18" customHeight="1">
      <x:c r="A5" s="66" t="str">
        <x:f>Synthetic_Data!B5</x:f>
        <x:v>P0004</x:v>
      </x:c>
      <x:c r="B5" s="153" t="n">
        <x:f>Synthetic_Data!A5</x:f>
        <x:v>46132</x:v>
      </x:c>
      <x:c r="C5" s="159" t="n">
        <x:f>Synthetic_Data!N5</x:f>
        <x:v>15.6</x:v>
      </x:c>
      <x:c r="D5" s="159" t="n">
        <x:f>Synthetic_Data!J5</x:f>
        <x:v>2.1</x:v>
      </x:c>
      <x:c r="E5" s="159" t="n">
        <x:f>Synthetic_Data!G5</x:f>
        <x:v>1.9</x:v>
      </x:c>
      <x:c r="F5" s="68" t="str">
        <x:f>Synthetic_Data!F5</x:f>
        <x:v>inquiry</x:v>
      </x:c>
    </x:row>
    <x:row r="6" ht="18" customHeight="1">
      <x:c r="A6" s="66" t="str">
        <x:f>Synthetic_Data!B6</x:f>
        <x:v>P0005</x:v>
      </x:c>
      <x:c r="B6" s="153" t="n">
        <x:f>Synthetic_Data!A6</x:f>
        <x:v>46132</x:v>
      </x:c>
      <x:c r="C6" s="159" t="n">
        <x:f>Synthetic_Data!N6</x:f>
        <x:v>30.2</x:v>
      </x:c>
      <x:c r="D6" s="159" t="n">
        <x:f>Synthetic_Data!J6</x:f>
        <x:v>14.6</x:v>
      </x:c>
      <x:c r="E6" s="159" t="n">
        <x:f>Synthetic_Data!G6</x:f>
        <x:v>2.8</x:v>
      </x:c>
      <x:c r="F6" s="68" t="str">
        <x:f>Synthetic_Data!F6</x:f>
        <x:v>billing_payment</x:v>
      </x:c>
    </x:row>
    <x:row r="7" ht="18" customHeight="1">
      <x:c r="A7" s="66" t="str">
        <x:f>Synthetic_Data!B7</x:f>
        <x:v>P0006</x:v>
      </x:c>
      <x:c r="B7" s="153" t="n">
        <x:f>Synthetic_Data!A7</x:f>
        <x:v>46132</x:v>
      </x:c>
      <x:c r="C7" s="159" t="n">
        <x:f>Synthetic_Data!N7</x:f>
        <x:v>34.2</x:v>
      </x:c>
      <x:c r="D7" s="159" t="n">
        <x:f>Synthetic_Data!J7</x:f>
        <x:v>4</x:v>
      </x:c>
      <x:c r="E7" s="159" t="n">
        <x:f>Synthetic_Data!G7</x:f>
        <x:v>4.7</x:v>
      </x:c>
      <x:c r="F7" s="68" t="str">
        <x:f>Synthetic_Data!F7</x:f>
        <x:v>registration</x:v>
      </x:c>
    </x:row>
    <x:row r="8" ht="18" customHeight="1">
      <x:c r="A8" s="66" t="str">
        <x:f>Synthetic_Data!B8</x:f>
        <x:v>P0007</x:v>
      </x:c>
      <x:c r="B8" s="153" t="n">
        <x:f>Synthetic_Data!A8</x:f>
        <x:v>46132</x:v>
      </x:c>
      <x:c r="C8" s="159" t="n">
        <x:f>Synthetic_Data!N8</x:f>
        <x:v>38.8</x:v>
      </x:c>
      <x:c r="D8" s="159" t="n">
        <x:f>Synthetic_Data!J8</x:f>
        <x:v>4.6</x:v>
      </x:c>
      <x:c r="E8" s="159" t="n">
        <x:f>Synthetic_Data!G8</x:f>
        <x:v>3.5</x:v>
      </x:c>
      <x:c r="F8" s="68" t="str">
        <x:f>Synthetic_Data!F8</x:f>
        <x:v>registration</x:v>
      </x:c>
    </x:row>
    <x:row r="9" ht="18" customHeight="1">
      <x:c r="A9" s="66" t="str">
        <x:f>Synthetic_Data!B9</x:f>
        <x:v>P0008</x:v>
      </x:c>
      <x:c r="B9" s="153" t="n">
        <x:f>Synthetic_Data!A9</x:f>
        <x:v>46132</x:v>
      </x:c>
      <x:c r="C9" s="159" t="n">
        <x:f>Synthetic_Data!N9</x:f>
        <x:v>41.5</x:v>
      </x:c>
      <x:c r="D9" s="159" t="n">
        <x:f>Synthetic_Data!J9</x:f>
        <x:v>2.7</x:v>
      </x:c>
      <x:c r="E9" s="159" t="n">
        <x:f>Synthetic_Data!G9</x:f>
        <x:v>6.3</x:v>
      </x:c>
      <x:c r="F9" s="68" t="str">
        <x:f>Synthetic_Data!F9</x:f>
        <x:v>sample_submission</x:v>
      </x:c>
    </x:row>
    <x:row r="10" ht="18" customHeight="1">
      <x:c r="A10" s="66" t="str">
        <x:f>Synthetic_Data!B10</x:f>
        <x:v>P0009</x:v>
      </x:c>
      <x:c r="B10" s="153" t="n">
        <x:f>Synthetic_Data!A10</x:f>
        <x:v>46132</x:v>
      </x:c>
      <x:c r="C10" s="159" t="n">
        <x:f>Synthetic_Data!N10</x:f>
        <x:v>44.5</x:v>
      </x:c>
      <x:c r="D10" s="159" t="n">
        <x:f>Synthetic_Data!J10</x:f>
        <x:v>3</x:v>
      </x:c>
      <x:c r="E10" s="159" t="n">
        <x:f>Synthetic_Data!G10</x:f>
        <x:v>5.3</x:v>
      </x:c>
      <x:c r="F10" s="68" t="str">
        <x:f>Synthetic_Data!F10</x:f>
        <x:v>registration</x:v>
      </x:c>
    </x:row>
    <x:row r="11" ht="18" customHeight="1">
      <x:c r="A11" s="66" t="str">
        <x:f>Synthetic_Data!B11</x:f>
        <x:v>P0010</x:v>
      </x:c>
      <x:c r="B11" s="153" t="n">
        <x:f>Synthetic_Data!A11</x:f>
        <x:v>46132</x:v>
      </x:c>
      <x:c r="C11" s="159" t="n">
        <x:f>Synthetic_Data!N11</x:f>
        <x:v>47.6</x:v>
      </x:c>
      <x:c r="D11" s="159" t="n">
        <x:f>Synthetic_Data!J11</x:f>
        <x:v>3.1</x:v>
      </x:c>
      <x:c r="E11" s="159" t="n">
        <x:f>Synthetic_Data!G11</x:f>
        <x:v>1</x:v>
      </x:c>
      <x:c r="F11" s="68" t="str">
        <x:f>Synthetic_Data!F11</x:f>
        <x:v>inquiry</x:v>
      </x:c>
    </x:row>
    <x:row r="12" ht="18" customHeight="1">
      <x:c r="A12" s="66" t="str">
        <x:f>Synthetic_Data!B12</x:f>
        <x:v>P0011</x:v>
      </x:c>
      <x:c r="B12" s="153" t="n">
        <x:f>Synthetic_Data!A12</x:f>
        <x:v>46132</x:v>
      </x:c>
      <x:c r="C12" s="159" t="n">
        <x:f>Synthetic_Data!N12</x:f>
        <x:v>51.9</x:v>
      </x:c>
      <x:c r="D12" s="159" t="n">
        <x:f>Synthetic_Data!J12</x:f>
        <x:v>4.4</x:v>
      </x:c>
      <x:c r="E12" s="159" t="n">
        <x:f>Synthetic_Data!G12</x:f>
        <x:v>4.3</x:v>
      </x:c>
      <x:c r="F12" s="68" t="str">
        <x:f>Synthetic_Data!F12</x:f>
        <x:v>registration</x:v>
      </x:c>
    </x:row>
    <x:row r="13" ht="18" customHeight="1">
      <x:c r="A13" s="66" t="str">
        <x:f>Synthetic_Data!B13</x:f>
        <x:v>P0012</x:v>
      </x:c>
      <x:c r="B13" s="153" t="n">
        <x:f>Synthetic_Data!A13</x:f>
        <x:v>46132</x:v>
      </x:c>
      <x:c r="C13" s="159" t="n">
        <x:f>Synthetic_Data!N13</x:f>
        <x:v>53.3</x:v>
      </x:c>
      <x:c r="D13" s="159" t="n">
        <x:f>Synthetic_Data!J13</x:f>
        <x:v>1.4</x:v>
      </x:c>
      <x:c r="E13" s="159" t="n">
        <x:f>Synthetic_Data!G13</x:f>
        <x:v>4.5</x:v>
      </x:c>
      <x:c r="F13" s="68" t="str">
        <x:f>Synthetic_Data!F13</x:f>
        <x:v>registration</x:v>
      </x:c>
    </x:row>
    <x:row r="14" ht="18" customHeight="1">
      <x:c r="A14" s="66" t="str">
        <x:f>Synthetic_Data!B14</x:f>
        <x:v>P0013</x:v>
      </x:c>
      <x:c r="B14" s="153" t="n">
        <x:f>Synthetic_Data!A14</x:f>
        <x:v>46132</x:v>
      </x:c>
      <x:c r="C14" s="159" t="n">
        <x:f>Synthetic_Data!N14</x:f>
        <x:v>56.8</x:v>
      </x:c>
      <x:c r="D14" s="159" t="n">
        <x:f>Synthetic_Data!J14</x:f>
        <x:v>3.5</x:v>
      </x:c>
      <x:c r="E14" s="159" t="n">
        <x:f>Synthetic_Data!G14</x:f>
        <x:v>6.6</x:v>
      </x:c>
      <x:c r="F14" s="68" t="str">
        <x:f>Synthetic_Data!F14</x:f>
        <x:v>sample_submission</x:v>
      </x:c>
    </x:row>
    <x:row r="15" ht="18" customHeight="1">
      <x:c r="A15" s="66" t="str">
        <x:f>Synthetic_Data!B15</x:f>
        <x:v>P0014</x:v>
      </x:c>
      <x:c r="B15" s="153" t="n">
        <x:f>Synthetic_Data!A15</x:f>
        <x:v>46132</x:v>
      </x:c>
      <x:c r="C15" s="159" t="n">
        <x:f>Synthetic_Data!N15</x:f>
        <x:v>57.8</x:v>
      </x:c>
      <x:c r="D15" s="159" t="n">
        <x:f>Synthetic_Data!J15</x:f>
        <x:v>0.9</x:v>
      </x:c>
      <x:c r="E15" s="159" t="n">
        <x:f>Synthetic_Data!G15</x:f>
        <x:v>3.5</x:v>
      </x:c>
      <x:c r="F15" s="68" t="str">
        <x:f>Synthetic_Data!F15</x:f>
        <x:v>registration</x:v>
      </x:c>
    </x:row>
    <x:row r="16" ht="18" customHeight="1">
      <x:c r="A16" s="66" t="str">
        <x:f>Synthetic_Data!B16</x:f>
        <x:v>P0015</x:v>
      </x:c>
      <x:c r="B16" s="153" t="n">
        <x:f>Synthetic_Data!A16</x:f>
        <x:v>46132</x:v>
      </x:c>
      <x:c r="C16" s="159" t="n">
        <x:f>Synthetic_Data!N16</x:f>
        <x:v>58.4</x:v>
      </x:c>
      <x:c r="D16" s="159" t="n">
        <x:f>Synthetic_Data!J16</x:f>
        <x:v>0.6</x:v>
      </x:c>
      <x:c r="E16" s="159" t="n">
        <x:f>Synthetic_Data!G16</x:f>
        <x:v>3.1</x:v>
      </x:c>
      <x:c r="F16" s="68" t="str">
        <x:f>Synthetic_Data!F16</x:f>
        <x:v>registration</x:v>
      </x:c>
    </x:row>
    <x:row r="17" ht="18" customHeight="1">
      <x:c r="A17" s="66" t="str">
        <x:f>Synthetic_Data!B17</x:f>
        <x:v>P0016</x:v>
      </x:c>
      <x:c r="B17" s="153" t="n">
        <x:f>Synthetic_Data!A17</x:f>
        <x:v>46132</x:v>
      </x:c>
      <x:c r="C17" s="159" t="n">
        <x:f>Synthetic_Data!N17</x:f>
        <x:v>61.4</x:v>
      </x:c>
      <x:c r="D17" s="159" t="n">
        <x:f>Synthetic_Data!J17</x:f>
        <x:v>3</x:v>
      </x:c>
      <x:c r="E17" s="159" t="n">
        <x:f>Synthetic_Data!G17</x:f>
        <x:v>2.2</x:v>
      </x:c>
      <x:c r="F17" s="68" t="str">
        <x:f>Synthetic_Data!F17</x:f>
        <x:v>billing_payment</x:v>
      </x:c>
    </x:row>
    <x:row r="18" ht="18" customHeight="1">
      <x:c r="A18" s="66" t="str">
        <x:f>Synthetic_Data!B18</x:f>
        <x:v>P0017</x:v>
      </x:c>
      <x:c r="B18" s="153" t="n">
        <x:f>Synthetic_Data!A18</x:f>
        <x:v>46132</x:v>
      </x:c>
      <x:c r="C18" s="159" t="n">
        <x:f>Synthetic_Data!N18</x:f>
        <x:v>68.9</x:v>
      </x:c>
      <x:c r="D18" s="159" t="n">
        <x:f>Synthetic_Data!J18</x:f>
        <x:v>7.5</x:v>
      </x:c>
      <x:c r="E18" s="159" t="n">
        <x:f>Synthetic_Data!G18</x:f>
        <x:v>3.3</x:v>
      </x:c>
      <x:c r="F18" s="68" t="str">
        <x:f>Synthetic_Data!F18</x:f>
        <x:v>billing_payment</x:v>
      </x:c>
    </x:row>
    <x:row r="19" ht="18" customHeight="1">
      <x:c r="A19" s="66" t="str">
        <x:f>Synthetic_Data!B19</x:f>
        <x:v>P0018</x:v>
      </x:c>
      <x:c r="B19" s="153" t="n">
        <x:f>Synthetic_Data!A19</x:f>
        <x:v>46132</x:v>
      </x:c>
      <x:c r="C19" s="159" t="n">
        <x:f>Synthetic_Data!N19</x:f>
        <x:v>81.3</x:v>
      </x:c>
      <x:c r="D19" s="159" t="n">
        <x:f>Synthetic_Data!J19</x:f>
        <x:v>12.4</x:v>
      </x:c>
      <x:c r="E19" s="159" t="n">
        <x:f>Synthetic_Data!G19</x:f>
        <x:v>0.6</x:v>
      </x:c>
      <x:c r="F19" s="68" t="str">
        <x:f>Synthetic_Data!F19</x:f>
        <x:v>inquiry</x:v>
      </x:c>
    </x:row>
    <x:row r="20" ht="18" customHeight="1">
      <x:c r="A20" s="66" t="str">
        <x:f>Synthetic_Data!B20</x:f>
        <x:v>P0019</x:v>
      </x:c>
      <x:c r="B20" s="153" t="n">
        <x:f>Synthetic_Data!A20</x:f>
        <x:v>46132</x:v>
      </x:c>
      <x:c r="C20" s="159" t="n">
        <x:f>Synthetic_Data!N20</x:f>
        <x:v>83.2</x:v>
      </x:c>
      <x:c r="D20" s="159" t="n">
        <x:f>Synthetic_Data!J20</x:f>
        <x:v>1.9</x:v>
      </x:c>
      <x:c r="E20" s="159" t="n">
        <x:f>Synthetic_Data!G20</x:f>
        <x:v>4.1</x:v>
      </x:c>
      <x:c r="F20" s="68" t="str">
        <x:f>Synthetic_Data!F20</x:f>
        <x:v>billing_payment</x:v>
      </x:c>
    </x:row>
    <x:row r="21" ht="18" customHeight="1">
      <x:c r="A21" s="66" t="str">
        <x:f>Synthetic_Data!B21</x:f>
        <x:v>P0020</x:v>
      </x:c>
      <x:c r="B21" s="153" t="n">
        <x:f>Synthetic_Data!A21</x:f>
        <x:v>46132</x:v>
      </x:c>
      <x:c r="C21" s="159" t="n">
        <x:f>Synthetic_Data!N21</x:f>
        <x:v>83.4</x:v>
      </x:c>
      <x:c r="D21" s="159" t="n">
        <x:f>Synthetic_Data!J21</x:f>
        <x:v>0.3</x:v>
      </x:c>
      <x:c r="E21" s="159" t="n">
        <x:f>Synthetic_Data!G21</x:f>
        <x:v>4.9</x:v>
      </x:c>
      <x:c r="F21" s="68" t="str">
        <x:f>Synthetic_Data!F21</x:f>
        <x:v>sample_submission</x:v>
      </x:c>
    </x:row>
    <x:row r="22" ht="18" customHeight="1">
      <x:c r="A22" s="66" t="str">
        <x:f>Synthetic_Data!B22</x:f>
        <x:v>P0021</x:v>
      </x:c>
      <x:c r="B22" s="153" t="n">
        <x:f>Synthetic_Data!A22</x:f>
        <x:v>46132</x:v>
      </x:c>
      <x:c r="C22" s="159" t="n">
        <x:f>Synthetic_Data!N22</x:f>
        <x:v>83.6</x:v>
      </x:c>
      <x:c r="D22" s="159" t="n">
        <x:f>Synthetic_Data!J22</x:f>
        <x:v>0.2</x:v>
      </x:c>
      <x:c r="E22" s="159" t="n">
        <x:f>Synthetic_Data!G22</x:f>
        <x:v>1.9</x:v>
      </x:c>
      <x:c r="F22" s="68" t="str">
        <x:f>Synthetic_Data!F22</x:f>
        <x:v>report_collection</x:v>
      </x:c>
    </x:row>
    <x:row r="23" ht="18" customHeight="1">
      <x:c r="A23" s="66" t="str">
        <x:f>Synthetic_Data!B23</x:f>
        <x:v>P0022</x:v>
      </x:c>
      <x:c r="B23" s="153" t="n">
        <x:f>Synthetic_Data!A23</x:f>
        <x:v>46132</x:v>
      </x:c>
      <x:c r="C23" s="159" t="n">
        <x:f>Synthetic_Data!N23</x:f>
        <x:v>84.6</x:v>
      </x:c>
      <x:c r="D23" s="159" t="n">
        <x:f>Synthetic_Data!J23</x:f>
        <x:v>0.9</x:v>
      </x:c>
      <x:c r="E23" s="159" t="n">
        <x:f>Synthetic_Data!G23</x:f>
        <x:v>4.2</x:v>
      </x:c>
      <x:c r="F23" s="68" t="str">
        <x:f>Synthetic_Data!F23</x:f>
        <x:v>sample_submission</x:v>
      </x:c>
    </x:row>
    <x:row r="24" ht="18" customHeight="1">
      <x:c r="A24" s="66" t="str">
        <x:f>Synthetic_Data!B24</x:f>
        <x:v>P0023</x:v>
      </x:c>
      <x:c r="B24" s="153" t="n">
        <x:f>Synthetic_Data!A24</x:f>
        <x:v>46132</x:v>
      </x:c>
      <x:c r="C24" s="159" t="n">
        <x:f>Synthetic_Data!N24</x:f>
        <x:v>85.5</x:v>
      </x:c>
      <x:c r="D24" s="159" t="n">
        <x:f>Synthetic_Data!J24</x:f>
        <x:v>0.9</x:v>
      </x:c>
      <x:c r="E24" s="159" t="n">
        <x:f>Synthetic_Data!G24</x:f>
        <x:v>4.8</x:v>
      </x:c>
      <x:c r="F24" s="68" t="str">
        <x:f>Synthetic_Data!F24</x:f>
        <x:v>sample_submission</x:v>
      </x:c>
    </x:row>
    <x:row r="25" ht="18" customHeight="1">
      <x:c r="A25" s="66" t="str">
        <x:f>Synthetic_Data!B25</x:f>
        <x:v>P0024</x:v>
      </x:c>
      <x:c r="B25" s="153" t="n">
        <x:f>Synthetic_Data!A25</x:f>
        <x:v>46132</x:v>
      </x:c>
      <x:c r="C25" s="159" t="n">
        <x:f>Synthetic_Data!N25</x:f>
        <x:v>89.1</x:v>
      </x:c>
      <x:c r="D25" s="159" t="n">
        <x:f>Synthetic_Data!J25</x:f>
        <x:v>3.6</x:v>
      </x:c>
      <x:c r="E25" s="159" t="n">
        <x:f>Synthetic_Data!G25</x:f>
        <x:v>3.7</x:v>
      </x:c>
      <x:c r="F25" s="68" t="str">
        <x:f>Synthetic_Data!F25</x:f>
        <x:v>registration</x:v>
      </x:c>
    </x:row>
    <x:row r="26" ht="18" customHeight="1">
      <x:c r="A26" s="66" t="str">
        <x:f>Synthetic_Data!B26</x:f>
        <x:v>P0025</x:v>
      </x:c>
      <x:c r="B26" s="153" t="n">
        <x:f>Synthetic_Data!A26</x:f>
        <x:v>46132</x:v>
      </x:c>
      <x:c r="C26" s="159" t="n">
        <x:f>Synthetic_Data!N26</x:f>
        <x:v>91.2</x:v>
      </x:c>
      <x:c r="D26" s="159" t="n">
        <x:f>Synthetic_Data!J26</x:f>
        <x:v>2.1</x:v>
      </x:c>
      <x:c r="E26" s="159" t="n">
        <x:f>Synthetic_Data!G26</x:f>
        <x:v>6.2</x:v>
      </x:c>
      <x:c r="F26" s="68" t="str">
        <x:f>Synthetic_Data!F26</x:f>
        <x:v>registration</x:v>
      </x:c>
    </x:row>
    <x:row r="27" ht="18" customHeight="1">
      <x:c r="A27" s="66" t="str">
        <x:f>Synthetic_Data!B27</x:f>
        <x:v>P0026</x:v>
      </x:c>
      <x:c r="B27" s="153" t="n">
        <x:f>Synthetic_Data!A27</x:f>
        <x:v>46132</x:v>
      </x:c>
      <x:c r="C27" s="159" t="n">
        <x:f>Synthetic_Data!N27</x:f>
        <x:v>91.7</x:v>
      </x:c>
      <x:c r="D27" s="159" t="n">
        <x:f>Synthetic_Data!J27</x:f>
        <x:v>0.4</x:v>
      </x:c>
      <x:c r="E27" s="159" t="n">
        <x:f>Synthetic_Data!G27</x:f>
        <x:v>6</x:v>
      </x:c>
      <x:c r="F27" s="68" t="str">
        <x:f>Synthetic_Data!F27</x:f>
        <x:v>registration</x:v>
      </x:c>
    </x:row>
    <x:row r="28" ht="18" customHeight="1">
      <x:c r="A28" s="66" t="str">
        <x:f>Synthetic_Data!B28</x:f>
        <x:v>P0027</x:v>
      </x:c>
      <x:c r="B28" s="153" t="n">
        <x:f>Synthetic_Data!A28</x:f>
        <x:v>46132</x:v>
      </x:c>
      <x:c r="C28" s="159" t="n">
        <x:f>Synthetic_Data!N28</x:f>
        <x:v>93.6</x:v>
      </x:c>
      <x:c r="D28" s="159" t="n">
        <x:f>Synthetic_Data!J28</x:f>
        <x:v>1.9</x:v>
      </x:c>
      <x:c r="E28" s="159" t="n">
        <x:f>Synthetic_Data!G28</x:f>
        <x:v>1.2</x:v>
      </x:c>
      <x:c r="F28" s="68" t="str">
        <x:f>Synthetic_Data!F28</x:f>
        <x:v>report_collection</x:v>
      </x:c>
    </x:row>
    <x:row r="29" ht="18" customHeight="1">
      <x:c r="A29" s="66" t="str">
        <x:f>Synthetic_Data!B29</x:f>
        <x:v>P0028</x:v>
      </x:c>
      <x:c r="B29" s="153" t="n">
        <x:f>Synthetic_Data!A29</x:f>
        <x:v>46132</x:v>
      </x:c>
      <x:c r="C29" s="159" t="n">
        <x:f>Synthetic_Data!N29</x:f>
        <x:v>111.1</x:v>
      </x:c>
      <x:c r="D29" s="159" t="n">
        <x:f>Synthetic_Data!J29</x:f>
        <x:v>17.5</x:v>
      </x:c>
      <x:c r="E29" s="159" t="n">
        <x:f>Synthetic_Data!G29</x:f>
        <x:v>2.1</x:v>
      </x:c>
      <x:c r="F29" s="68" t="str">
        <x:f>Synthetic_Data!F29</x:f>
        <x:v>report_collection</x:v>
      </x:c>
    </x:row>
    <x:row r="30" ht="18" customHeight="1">
      <x:c r="A30" s="66" t="str">
        <x:f>Synthetic_Data!B30</x:f>
        <x:v>P0029</x:v>
      </x:c>
      <x:c r="B30" s="153" t="n">
        <x:f>Synthetic_Data!A30</x:f>
        <x:v>46132</x:v>
      </x:c>
      <x:c r="C30" s="159" t="n">
        <x:f>Synthetic_Data!N30</x:f>
        <x:v>113.9</x:v>
      </x:c>
      <x:c r="D30" s="159" t="n">
        <x:f>Synthetic_Data!J30</x:f>
        <x:v>2.8</x:v>
      </x:c>
      <x:c r="E30" s="159" t="n">
        <x:f>Synthetic_Data!G30</x:f>
        <x:v>3</x:v>
      </x:c>
      <x:c r="F30" s="68" t="str">
        <x:f>Synthetic_Data!F30</x:f>
        <x:v>billing_payment</x:v>
      </x:c>
    </x:row>
    <x:row r="31" ht="18" customHeight="1">
      <x:c r="A31" s="66" t="str">
        <x:f>Synthetic_Data!B31</x:f>
        <x:v>P0030</x:v>
      </x:c>
      <x:c r="B31" s="153" t="n">
        <x:f>Synthetic_Data!A31</x:f>
        <x:v>46132</x:v>
      </x:c>
      <x:c r="C31" s="159" t="n">
        <x:f>Synthetic_Data!N31</x:f>
        <x:v>146.5</x:v>
      </x:c>
      <x:c r="D31" s="159" t="n">
        <x:f>Synthetic_Data!J31</x:f>
        <x:v>32.6</x:v>
      </x:c>
      <x:c r="E31" s="159" t="n">
        <x:f>Synthetic_Data!G31</x:f>
        <x:v>6.5</x:v>
      </x:c>
      <x:c r="F31" s="68" t="str">
        <x:f>Synthetic_Data!F31</x:f>
        <x:v>registration</x:v>
      </x:c>
    </x:row>
    <x:row r="32" ht="18" customHeight="1">
      <x:c r="A32" s="66" t="str">
        <x:f>Synthetic_Data!B32</x:f>
        <x:v>P0031</x:v>
      </x:c>
      <x:c r="B32" s="153" t="n">
        <x:f>Synthetic_Data!A32</x:f>
        <x:v>46132</x:v>
      </x:c>
      <x:c r="C32" s="159" t="n">
        <x:f>Synthetic_Data!N32</x:f>
        <x:v>150.7</x:v>
      </x:c>
      <x:c r="D32" s="159" t="n">
        <x:f>Synthetic_Data!J32</x:f>
        <x:v>4.1</x:v>
      </x:c>
      <x:c r="E32" s="159" t="n">
        <x:f>Synthetic_Data!G32</x:f>
        <x:v>5.3</x:v>
      </x:c>
      <x:c r="F32" s="68" t="str">
        <x:f>Synthetic_Data!F32</x:f>
        <x:v>registration</x:v>
      </x:c>
    </x:row>
    <x:row r="33" ht="18" customHeight="1">
      <x:c r="A33" s="66" t="str">
        <x:f>Synthetic_Data!B33</x:f>
        <x:v>P0032</x:v>
      </x:c>
      <x:c r="B33" s="153" t="n">
        <x:f>Synthetic_Data!A33</x:f>
        <x:v>46132</x:v>
      </x:c>
      <x:c r="C33" s="159" t="n">
        <x:f>Synthetic_Data!N33</x:f>
        <x:v>154.8</x:v>
      </x:c>
      <x:c r="D33" s="159" t="n">
        <x:f>Synthetic_Data!J33</x:f>
        <x:v>4.2</x:v>
      </x:c>
      <x:c r="E33" s="159" t="n">
        <x:f>Synthetic_Data!G33</x:f>
        <x:v>5.2</x:v>
      </x:c>
      <x:c r="F33" s="68" t="str">
        <x:f>Synthetic_Data!F33</x:f>
        <x:v>registration</x:v>
      </x:c>
    </x:row>
    <x:row r="34" ht="18" customHeight="1">
      <x:c r="A34" s="66" t="str">
        <x:f>Synthetic_Data!B34</x:f>
        <x:v>P0033</x:v>
      </x:c>
      <x:c r="B34" s="153" t="n">
        <x:f>Synthetic_Data!A34</x:f>
        <x:v>46132</x:v>
      </x:c>
      <x:c r="C34" s="159" t="n">
        <x:f>Synthetic_Data!N34</x:f>
        <x:v>163.7</x:v>
      </x:c>
      <x:c r="D34" s="159" t="n">
        <x:f>Synthetic_Data!J34</x:f>
        <x:v>8.8</x:v>
      </x:c>
      <x:c r="E34" s="159" t="n">
        <x:f>Synthetic_Data!G34</x:f>
        <x:v>5.1</x:v>
      </x:c>
      <x:c r="F34" s="68" t="str">
        <x:f>Synthetic_Data!F34</x:f>
        <x:v>sample_submission</x:v>
      </x:c>
    </x:row>
    <x:row r="35" ht="18" customHeight="1">
      <x:c r="A35" s="66" t="str">
        <x:f>Synthetic_Data!B35</x:f>
        <x:v>P0034</x:v>
      </x:c>
      <x:c r="B35" s="153" t="n">
        <x:f>Synthetic_Data!A35</x:f>
        <x:v>46132</x:v>
      </x:c>
      <x:c r="C35" s="159" t="n">
        <x:f>Synthetic_Data!N35</x:f>
        <x:v>167</x:v>
      </x:c>
      <x:c r="D35" s="159" t="n">
        <x:f>Synthetic_Data!J35</x:f>
        <x:v>3.3</x:v>
      </x:c>
      <x:c r="E35" s="159" t="n">
        <x:f>Synthetic_Data!G35</x:f>
        <x:v>6.1</x:v>
      </x:c>
      <x:c r="F35" s="68" t="str">
        <x:f>Synthetic_Data!F35</x:f>
        <x:v>sample_submission</x:v>
      </x:c>
    </x:row>
    <x:row r="36" ht="18" customHeight="1">
      <x:c r="A36" s="66" t="str">
        <x:f>Synthetic_Data!B36</x:f>
        <x:v>P0035</x:v>
      </x:c>
      <x:c r="B36" s="153" t="n">
        <x:f>Synthetic_Data!A36</x:f>
        <x:v>46132</x:v>
      </x:c>
      <x:c r="C36" s="159" t="n">
        <x:f>Synthetic_Data!N36</x:f>
        <x:v>169.6</x:v>
      </x:c>
      <x:c r="D36" s="159" t="n">
        <x:f>Synthetic_Data!J36</x:f>
        <x:v>2.6</x:v>
      </x:c>
      <x:c r="E36" s="159" t="n">
        <x:f>Synthetic_Data!G36</x:f>
        <x:v>3.7</x:v>
      </x:c>
      <x:c r="F36" s="68" t="str">
        <x:f>Synthetic_Data!F36</x:f>
        <x:v>billing_payment</x:v>
      </x:c>
    </x:row>
    <x:row r="37" ht="18" customHeight="1">
      <x:c r="A37" s="66" t="str">
        <x:f>Synthetic_Data!B37</x:f>
        <x:v>P0036</x:v>
      </x:c>
      <x:c r="B37" s="153" t="n">
        <x:f>Synthetic_Data!A37</x:f>
        <x:v>46132</x:v>
      </x:c>
      <x:c r="C37" s="159" t="n">
        <x:f>Synthetic_Data!N37</x:f>
        <x:v>192.7</x:v>
      </x:c>
      <x:c r="D37" s="159" t="n">
        <x:f>Synthetic_Data!J37</x:f>
        <x:v>23.1</x:v>
      </x:c>
      <x:c r="E37" s="159" t="n">
        <x:f>Synthetic_Data!G37</x:f>
        <x:v>2.2</x:v>
      </x:c>
      <x:c r="F37" s="68" t="str">
        <x:f>Synthetic_Data!F37</x:f>
        <x:v>report_collection</x:v>
      </x:c>
    </x:row>
    <x:row r="38" ht="18" customHeight="1">
      <x:c r="A38" s="66" t="str">
        <x:f>Synthetic_Data!B38</x:f>
        <x:v>P0037</x:v>
      </x:c>
      <x:c r="B38" s="153" t="n">
        <x:f>Synthetic_Data!A38</x:f>
        <x:v>46132</x:v>
      </x:c>
      <x:c r="C38" s="159" t="n">
        <x:f>Synthetic_Data!N38</x:f>
        <x:v>201.1</x:v>
      </x:c>
      <x:c r="D38" s="159" t="n">
        <x:f>Synthetic_Data!J38</x:f>
        <x:v>8.4</x:v>
      </x:c>
      <x:c r="E38" s="159" t="n">
        <x:f>Synthetic_Data!G38</x:f>
        <x:v>2.7</x:v>
      </x:c>
      <x:c r="F38" s="68" t="str">
        <x:f>Synthetic_Data!F38</x:f>
        <x:v>report_collection</x:v>
      </x:c>
    </x:row>
    <x:row r="39" ht="18" customHeight="1">
      <x:c r="A39" s="66" t="str">
        <x:f>Synthetic_Data!B39</x:f>
        <x:v>P0038</x:v>
      </x:c>
      <x:c r="B39" s="153" t="n">
        <x:f>Synthetic_Data!A39</x:f>
        <x:v>46132</x:v>
      </x:c>
      <x:c r="C39" s="159" t="n">
        <x:f>Synthetic_Data!N39</x:f>
        <x:v>211.7</x:v>
      </x:c>
      <x:c r="D39" s="159" t="n">
        <x:f>Synthetic_Data!J39</x:f>
        <x:v>10.6</x:v>
      </x:c>
      <x:c r="E39" s="159" t="n">
        <x:f>Synthetic_Data!G39</x:f>
        <x:v>4.1</x:v>
      </x:c>
      <x:c r="F39" s="68" t="str">
        <x:f>Synthetic_Data!F39</x:f>
        <x:v>billing_payment</x:v>
      </x:c>
    </x:row>
    <x:row r="40" ht="18" customHeight="1">
      <x:c r="A40" s="66" t="str">
        <x:f>Synthetic_Data!B40</x:f>
        <x:v>P0039</x:v>
      </x:c>
      <x:c r="B40" s="153" t="n">
        <x:f>Synthetic_Data!A40</x:f>
        <x:v>46132</x:v>
      </x:c>
      <x:c r="C40" s="159" t="n">
        <x:f>Synthetic_Data!N40</x:f>
        <x:v>266.5</x:v>
      </x:c>
      <x:c r="D40" s="159" t="n">
        <x:f>Synthetic_Data!J40</x:f>
        <x:v>54.7</x:v>
      </x:c>
      <x:c r="E40" s="159" t="n">
        <x:f>Synthetic_Data!G40</x:f>
        <x:v>2.9</x:v>
      </x:c>
      <x:c r="F40" s="68" t="str">
        <x:f>Synthetic_Data!F40</x:f>
        <x:v>billing_payment</x:v>
      </x:c>
    </x:row>
    <x:row r="41" ht="18" customHeight="1">
      <x:c r="A41" s="66" t="str">
        <x:f>Synthetic_Data!B41</x:f>
        <x:v>P0040</x:v>
      </x:c>
      <x:c r="B41" s="153" t="n">
        <x:f>Synthetic_Data!A41</x:f>
        <x:v>46132</x:v>
      </x:c>
      <x:c r="C41" s="159" t="n">
        <x:f>Synthetic_Data!N41</x:f>
        <x:v>268.4</x:v>
      </x:c>
      <x:c r="D41" s="159" t="n">
        <x:f>Synthetic_Data!J41</x:f>
        <x:v>1.9</x:v>
      </x:c>
      <x:c r="E41" s="159" t="n">
        <x:f>Synthetic_Data!G41</x:f>
        <x:v>3.4</x:v>
      </x:c>
      <x:c r="F41" s="68" t="str">
        <x:f>Synthetic_Data!F41</x:f>
        <x:v>report_collection</x:v>
      </x:c>
    </x:row>
    <x:row r="42" ht="18" customHeight="1">
      <x:c r="A42" s="66" t="str">
        <x:f>Synthetic_Data!B42</x:f>
        <x:v>P0041</x:v>
      </x:c>
      <x:c r="B42" s="153" t="n">
        <x:f>Synthetic_Data!A42</x:f>
        <x:v>46132</x:v>
      </x:c>
      <x:c r="C42" s="159" t="n">
        <x:f>Synthetic_Data!N42</x:f>
        <x:v>269.1</x:v>
      </x:c>
      <x:c r="D42" s="159" t="n">
        <x:f>Synthetic_Data!J42</x:f>
        <x:v>0.6</x:v>
      </x:c>
      <x:c r="E42" s="159" t="n">
        <x:f>Synthetic_Data!G42</x:f>
        <x:v>6.2</x:v>
      </x:c>
      <x:c r="F42" s="68" t="str">
        <x:f>Synthetic_Data!F42</x:f>
        <x:v>appointment_booking</x:v>
      </x:c>
    </x:row>
    <x:row r="43" ht="18" customHeight="1">
      <x:c r="A43" s="66" t="str">
        <x:f>Synthetic_Data!B43</x:f>
        <x:v>P0042</x:v>
      </x:c>
      <x:c r="B43" s="153" t="n">
        <x:f>Synthetic_Data!A43</x:f>
        <x:v>46132</x:v>
      </x:c>
      <x:c r="C43" s="159" t="n">
        <x:f>Synthetic_Data!N43</x:f>
        <x:v>271.4</x:v>
      </x:c>
      <x:c r="D43" s="159" t="n">
        <x:f>Synthetic_Data!J43</x:f>
        <x:v>2.3</x:v>
      </x:c>
      <x:c r="E43" s="159" t="n">
        <x:f>Synthetic_Data!G43</x:f>
        <x:v>5.4</x:v>
      </x:c>
      <x:c r="F43" s="68" t="str">
        <x:f>Synthetic_Data!F43</x:f>
        <x:v>registration</x:v>
      </x:c>
    </x:row>
    <x:row r="44" ht="18" customHeight="1">
      <x:c r="A44" s="66" t="str">
        <x:f>Synthetic_Data!B44</x:f>
        <x:v>P0043</x:v>
      </x:c>
      <x:c r="B44" s="153" t="n">
        <x:f>Synthetic_Data!A44</x:f>
        <x:v>46132</x:v>
      </x:c>
      <x:c r="C44" s="159" t="n">
        <x:f>Synthetic_Data!N44</x:f>
        <x:v>274.1</x:v>
      </x:c>
      <x:c r="D44" s="159" t="n">
        <x:f>Synthetic_Data!J44</x:f>
        <x:v>2.8</x:v>
      </x:c>
      <x:c r="E44" s="159" t="n">
        <x:f>Synthetic_Data!G44</x:f>
        <x:v>3.2</x:v>
      </x:c>
      <x:c r="F44" s="68" t="str">
        <x:f>Synthetic_Data!F44</x:f>
        <x:v>registration</x:v>
      </x:c>
    </x:row>
    <x:row r="45" ht="18" customHeight="1">
      <x:c r="A45" s="66" t="str">
        <x:f>Synthetic_Data!B45</x:f>
        <x:v>P0044</x:v>
      </x:c>
      <x:c r="B45" s="153" t="n">
        <x:f>Synthetic_Data!A45</x:f>
        <x:v>46132</x:v>
      </x:c>
      <x:c r="C45" s="159" t="n">
        <x:f>Synthetic_Data!N45</x:f>
        <x:v>284.4</x:v>
      </x:c>
      <x:c r="D45" s="159" t="n">
        <x:f>Synthetic_Data!J45</x:f>
        <x:v>10.3</x:v>
      </x:c>
      <x:c r="E45" s="159" t="n">
        <x:f>Synthetic_Data!G45</x:f>
        <x:v>4.7</x:v>
      </x:c>
      <x:c r="F45" s="68" t="str">
        <x:f>Synthetic_Data!F45</x:f>
        <x:v>sample_submission</x:v>
      </x:c>
    </x:row>
    <x:row r="46" ht="18" customHeight="1">
      <x:c r="A46" s="66" t="str">
        <x:f>Synthetic_Data!B46</x:f>
        <x:v>P0045</x:v>
      </x:c>
      <x:c r="B46" s="153" t="n">
        <x:f>Synthetic_Data!A46</x:f>
        <x:v>46132</x:v>
      </x:c>
      <x:c r="C46" s="159" t="n">
        <x:f>Synthetic_Data!N46</x:f>
        <x:v>311.1</x:v>
      </x:c>
      <x:c r="D46" s="159" t="n">
        <x:f>Synthetic_Data!J46</x:f>
        <x:v>26.7</x:v>
      </x:c>
      <x:c r="E46" s="159" t="n">
        <x:f>Synthetic_Data!G46</x:f>
        <x:v>3.1</x:v>
      </x:c>
      <x:c r="F46" s="68" t="str">
        <x:f>Synthetic_Data!F46</x:f>
        <x:v>billing_payment</x:v>
      </x:c>
    </x:row>
    <x:row r="47" ht="18" customHeight="1">
      <x:c r="A47" s="66" t="str">
        <x:f>Synthetic_Data!B47</x:f>
        <x:v>P0046</x:v>
      </x:c>
      <x:c r="B47" s="153" t="n">
        <x:f>Synthetic_Data!A47</x:f>
        <x:v>46132</x:v>
      </x:c>
      <x:c r="C47" s="159" t="n">
        <x:f>Synthetic_Data!N47</x:f>
        <x:v>317.5</x:v>
      </x:c>
      <x:c r="D47" s="159" t="n">
        <x:f>Synthetic_Data!J47</x:f>
        <x:v>6.4</x:v>
      </x:c>
      <x:c r="E47" s="159" t="n">
        <x:f>Synthetic_Data!G47</x:f>
        <x:v>6.2</x:v>
      </x:c>
      <x:c r="F47" s="68" t="str">
        <x:f>Synthetic_Data!F47</x:f>
        <x:v>sample_submission</x:v>
      </x:c>
    </x:row>
    <x:row r="48" ht="18" customHeight="1">
      <x:c r="A48" s="66" t="str">
        <x:f>Synthetic_Data!B48</x:f>
        <x:v>P0047</x:v>
      </x:c>
      <x:c r="B48" s="153" t="n">
        <x:f>Synthetic_Data!A48</x:f>
        <x:v>46132</x:v>
      </x:c>
      <x:c r="C48" s="159" t="n">
        <x:f>Synthetic_Data!N48</x:f>
        <x:v>327.8</x:v>
      </x:c>
      <x:c r="D48" s="159" t="n">
        <x:f>Synthetic_Data!J48</x:f>
        <x:v>10.3</x:v>
      </x:c>
      <x:c r="E48" s="159" t="n">
        <x:f>Synthetic_Data!G48</x:f>
        <x:v>5.1</x:v>
      </x:c>
      <x:c r="F48" s="68" t="str">
        <x:f>Synthetic_Data!F48</x:f>
        <x:v>billing_payment</x:v>
      </x:c>
    </x:row>
    <x:row r="49" ht="18" customHeight="1">
      <x:c r="A49" s="66" t="str">
        <x:f>Synthetic_Data!B49</x:f>
        <x:v>P0048</x:v>
      </x:c>
      <x:c r="B49" s="153" t="n">
        <x:f>Synthetic_Data!A49</x:f>
        <x:v>46132</x:v>
      </x:c>
      <x:c r="C49" s="159" t="n">
        <x:f>Synthetic_Data!N49</x:f>
        <x:v>328.9</x:v>
      </x:c>
      <x:c r="D49" s="159" t="n">
        <x:f>Synthetic_Data!J49</x:f>
        <x:v>1.1</x:v>
      </x:c>
      <x:c r="E49" s="159" t="n">
        <x:f>Synthetic_Data!G49</x:f>
        <x:v>1.9</x:v>
      </x:c>
      <x:c r="F49" s="68" t="str">
        <x:f>Synthetic_Data!F49</x:f>
        <x:v>billing_payment</x:v>
      </x:c>
    </x:row>
    <x:row r="50" ht="18" customHeight="1">
      <x:c r="A50" s="66" t="str">
        <x:f>Synthetic_Data!B50</x:f>
        <x:v>P0049</x:v>
      </x:c>
      <x:c r="B50" s="153" t="n">
        <x:f>Synthetic_Data!A50</x:f>
        <x:v>46132</x:v>
      </x:c>
      <x:c r="C50" s="159" t="n">
        <x:f>Synthetic_Data!N50</x:f>
        <x:v>335.7</x:v>
      </x:c>
      <x:c r="D50" s="159" t="n">
        <x:f>Synthetic_Data!J50</x:f>
        <x:v>6.8</x:v>
      </x:c>
      <x:c r="E50" s="159" t="n">
        <x:f>Synthetic_Data!G50</x:f>
        <x:v>2.5</x:v>
      </x:c>
      <x:c r="F50" s="68" t="str">
        <x:f>Synthetic_Data!F50</x:f>
        <x:v>billing_payment</x:v>
      </x:c>
    </x:row>
    <x:row r="51" ht="18" customHeight="1">
      <x:c r="A51" s="66" t="str">
        <x:f>Synthetic_Data!B51</x:f>
        <x:v>P0050</x:v>
      </x:c>
      <x:c r="B51" s="153" t="n">
        <x:f>Synthetic_Data!A51</x:f>
        <x:v>46132</x:v>
      </x:c>
      <x:c r="C51" s="159" t="n">
        <x:f>Synthetic_Data!N51</x:f>
        <x:v>337.2</x:v>
      </x:c>
      <x:c r="D51" s="159" t="n">
        <x:f>Synthetic_Data!J51</x:f>
        <x:v>1.5</x:v>
      </x:c>
      <x:c r="E51" s="159" t="n">
        <x:f>Synthetic_Data!G51</x:f>
        <x:v>5.4</x:v>
      </x:c>
      <x:c r="F51" s="68" t="str">
        <x:f>Synthetic_Data!F51</x:f>
        <x:v>registration</x:v>
      </x:c>
    </x:row>
    <x:row r="52" ht="18" customHeight="1">
      <x:c r="A52" s="66" t="str">
        <x:f>Synthetic_Data!B52</x:f>
        <x:v>P0051</x:v>
      </x:c>
      <x:c r="B52" s="153" t="n">
        <x:f>Synthetic_Data!A52</x:f>
        <x:v>46132</x:v>
      </x:c>
      <x:c r="C52" s="159" t="n">
        <x:f>Synthetic_Data!N52</x:f>
        <x:v>337.3</x:v>
      </x:c>
      <x:c r="D52" s="159" t="n">
        <x:f>Synthetic_Data!J52</x:f>
        <x:v>0.1</x:v>
      </x:c>
      <x:c r="E52" s="159" t="n">
        <x:f>Synthetic_Data!G52</x:f>
        <x:v>2.4</x:v>
      </x:c>
      <x:c r="F52" s="68" t="str">
        <x:f>Synthetic_Data!F52</x:f>
        <x:v>report_collection</x:v>
      </x:c>
    </x:row>
    <x:row r="53" ht="18" customHeight="1">
      <x:c r="A53" s="66" t="str">
        <x:f>Synthetic_Data!B53</x:f>
        <x:v>P0052</x:v>
      </x:c>
      <x:c r="B53" s="153" t="n">
        <x:f>Synthetic_Data!A53</x:f>
        <x:v>46132</x:v>
      </x:c>
      <x:c r="C53" s="159" t="n">
        <x:f>Synthetic_Data!N53</x:f>
        <x:v>338.6</x:v>
      </x:c>
      <x:c r="D53" s="159" t="n">
        <x:f>Synthetic_Data!J53</x:f>
        <x:v>1.3</x:v>
      </x:c>
      <x:c r="E53" s="159" t="n">
        <x:f>Synthetic_Data!G53</x:f>
        <x:v>3.2</x:v>
      </x:c>
      <x:c r="F53" s="68" t="str">
        <x:f>Synthetic_Data!F53</x:f>
        <x:v>billing_payment</x:v>
      </x:c>
    </x:row>
    <x:row r="54" ht="18" customHeight="1">
      <x:c r="A54" s="66" t="str">
        <x:f>Synthetic_Data!B54</x:f>
        <x:v>P0053</x:v>
      </x:c>
      <x:c r="B54" s="153" t="n">
        <x:f>Synthetic_Data!A54</x:f>
        <x:v>46132</x:v>
      </x:c>
      <x:c r="C54" s="159" t="n">
        <x:f>Synthetic_Data!N54</x:f>
        <x:v>342.1</x:v>
      </x:c>
      <x:c r="D54" s="159" t="n">
        <x:f>Synthetic_Data!J54</x:f>
        <x:v>3.5</x:v>
      </x:c>
      <x:c r="E54" s="159" t="n">
        <x:f>Synthetic_Data!G54</x:f>
        <x:v>4.9</x:v>
      </x:c>
      <x:c r="F54" s="68" t="str">
        <x:f>Synthetic_Data!F54</x:f>
        <x:v>registration</x:v>
      </x:c>
    </x:row>
    <x:row r="55" ht="18" customHeight="1">
      <x:c r="A55" s="66" t="str">
        <x:f>Synthetic_Data!B55</x:f>
        <x:v>P0054</x:v>
      </x:c>
      <x:c r="B55" s="153" t="n">
        <x:f>Synthetic_Data!A55</x:f>
        <x:v>46132</x:v>
      </x:c>
      <x:c r="C55" s="159" t="n">
        <x:f>Synthetic_Data!N55</x:f>
        <x:v>343.4</x:v>
      </x:c>
      <x:c r="D55" s="159" t="n">
        <x:f>Synthetic_Data!J55</x:f>
        <x:v>1.3</x:v>
      </x:c>
      <x:c r="E55" s="159" t="n">
        <x:f>Synthetic_Data!G55</x:f>
        <x:v>4.4</x:v>
      </x:c>
      <x:c r="F55" s="68" t="str">
        <x:f>Synthetic_Data!F55</x:f>
        <x:v>billing_payment</x:v>
      </x:c>
    </x:row>
    <x:row r="56" ht="18" customHeight="1">
      <x:c r="A56" s="66" t="str">
        <x:f>Synthetic_Data!B56</x:f>
        <x:v>P0055</x:v>
      </x:c>
      <x:c r="B56" s="153" t="n">
        <x:f>Synthetic_Data!A56</x:f>
        <x:v>46132</x:v>
      </x:c>
      <x:c r="C56" s="159" t="n">
        <x:f>Synthetic_Data!N56</x:f>
        <x:v>347.4</x:v>
      </x:c>
      <x:c r="D56" s="159" t="n">
        <x:f>Synthetic_Data!J56</x:f>
        <x:v>4</x:v>
      </x:c>
      <x:c r="E56" s="159" t="n">
        <x:f>Synthetic_Data!G56</x:f>
        <x:v>4</x:v>
      </x:c>
      <x:c r="F56" s="68" t="str">
        <x:f>Synthetic_Data!F56</x:f>
        <x:v>registration</x:v>
      </x:c>
    </x:row>
    <x:row r="57" ht="18" customHeight="1">
      <x:c r="A57" s="66" t="str">
        <x:f>Synthetic_Data!B57</x:f>
        <x:v>P0056</x:v>
      </x:c>
      <x:c r="B57" s="153" t="n">
        <x:f>Synthetic_Data!A57</x:f>
        <x:v>46132</x:v>
      </x:c>
      <x:c r="C57" s="159" t="n">
        <x:f>Synthetic_Data!N57</x:f>
        <x:v>351.2</x:v>
      </x:c>
      <x:c r="D57" s="159" t="n">
        <x:f>Synthetic_Data!J57</x:f>
        <x:v>3.8</x:v>
      </x:c>
      <x:c r="E57" s="159" t="n">
        <x:f>Synthetic_Data!G57</x:f>
        <x:v>2</x:v>
      </x:c>
      <x:c r="F57" s="68" t="str">
        <x:f>Synthetic_Data!F57</x:f>
        <x:v>report_collection</x:v>
      </x:c>
    </x:row>
    <x:row r="58" ht="18" customHeight="1">
      <x:c r="A58" s="66" t="str">
        <x:f>Synthetic_Data!B58</x:f>
        <x:v>P0057</x:v>
      </x:c>
      <x:c r="B58" s="153" t="n">
        <x:f>Synthetic_Data!A58</x:f>
        <x:v>46132</x:v>
      </x:c>
      <x:c r="C58" s="159" t="n">
        <x:f>Synthetic_Data!N58</x:f>
        <x:v>352.9</x:v>
      </x:c>
      <x:c r="D58" s="159" t="n">
        <x:f>Synthetic_Data!J58</x:f>
        <x:v>1.8</x:v>
      </x:c>
      <x:c r="E58" s="159" t="n">
        <x:f>Synthetic_Data!G58</x:f>
        <x:v>3.7</x:v>
      </x:c>
      <x:c r="F58" s="68" t="str">
        <x:f>Synthetic_Data!F58</x:f>
        <x:v>registration</x:v>
      </x:c>
    </x:row>
    <x:row r="59" ht="18" customHeight="1">
      <x:c r="A59" s="66" t="str">
        <x:f>Synthetic_Data!B59</x:f>
        <x:v>P0058</x:v>
      </x:c>
      <x:c r="B59" s="153" t="n">
        <x:f>Synthetic_Data!A59</x:f>
        <x:v>46132</x:v>
      </x:c>
      <x:c r="C59" s="159" t="n">
        <x:f>Synthetic_Data!N59</x:f>
        <x:v>355.5</x:v>
      </x:c>
      <x:c r="D59" s="159" t="n">
        <x:f>Synthetic_Data!J59</x:f>
        <x:v>2.6</x:v>
      </x:c>
      <x:c r="E59" s="159" t="n">
        <x:f>Synthetic_Data!G59</x:f>
        <x:v>5.4</x:v>
      </x:c>
      <x:c r="F59" s="68" t="str">
        <x:f>Synthetic_Data!F59</x:f>
        <x:v>registration</x:v>
      </x:c>
    </x:row>
    <x:row r="60" ht="18" customHeight="1">
      <x:c r="A60" s="66" t="str">
        <x:f>Synthetic_Data!B60</x:f>
        <x:v>P0059</x:v>
      </x:c>
      <x:c r="B60" s="153" t="n">
        <x:f>Synthetic_Data!A60</x:f>
        <x:v>46132</x:v>
      </x:c>
      <x:c r="C60" s="159" t="n">
        <x:f>Synthetic_Data!N60</x:f>
        <x:v>356.8</x:v>
      </x:c>
      <x:c r="D60" s="159" t="n">
        <x:f>Synthetic_Data!J60</x:f>
        <x:v>1.3</x:v>
      </x:c>
      <x:c r="E60" s="159" t="n">
        <x:f>Synthetic_Data!G60</x:f>
        <x:v>1.6</x:v>
      </x:c>
      <x:c r="F60" s="68" t="str">
        <x:f>Synthetic_Data!F60</x:f>
        <x:v>report_collection</x:v>
      </x:c>
    </x:row>
    <x:row r="61" ht="18" customHeight="1">
      <x:c r="A61" s="66" t="str">
        <x:f>Synthetic_Data!B61</x:f>
        <x:v>P0060</x:v>
      </x:c>
      <x:c r="B61" s="153" t="n">
        <x:f>Synthetic_Data!A61</x:f>
        <x:v>46132</x:v>
      </x:c>
      <x:c r="C61" s="159" t="n">
        <x:f>Synthetic_Data!N61</x:f>
        <x:v>364.6</x:v>
      </x:c>
      <x:c r="D61" s="159" t="n">
        <x:f>Synthetic_Data!J61</x:f>
        <x:v>7.8</x:v>
      </x:c>
      <x:c r="E61" s="159" t="n">
        <x:f>Synthetic_Data!G61</x:f>
        <x:v>5.4</x:v>
      </x:c>
      <x:c r="F61" s="68" t="str">
        <x:f>Synthetic_Data!F61</x:f>
        <x:v>registration</x:v>
      </x:c>
    </x:row>
    <x:row r="62" ht="18" customHeight="1">
      <x:c r="A62" s="66" t="str">
        <x:f>Synthetic_Data!B62</x:f>
        <x:v>P0061</x:v>
      </x:c>
      <x:c r="B62" s="153" t="n">
        <x:f>Synthetic_Data!A62</x:f>
        <x:v>46132</x:v>
      </x:c>
      <x:c r="C62" s="159" t="n">
        <x:f>Synthetic_Data!N62</x:f>
        <x:v>371.2</x:v>
      </x:c>
      <x:c r="D62" s="159" t="n">
        <x:f>Synthetic_Data!J62</x:f>
        <x:v>6.6</x:v>
      </x:c>
      <x:c r="E62" s="159" t="n">
        <x:f>Synthetic_Data!G62</x:f>
        <x:v>5.2</x:v>
      </x:c>
      <x:c r="F62" s="68" t="str">
        <x:f>Synthetic_Data!F62</x:f>
        <x:v>sample_submission</x:v>
      </x:c>
    </x:row>
    <x:row r="63" ht="18" customHeight="1">
      <x:c r="A63" s="66" t="str">
        <x:f>Synthetic_Data!B63</x:f>
        <x:v>P0062</x:v>
      </x:c>
      <x:c r="B63" s="153" t="n">
        <x:f>Synthetic_Data!A63</x:f>
        <x:v>46132</x:v>
      </x:c>
      <x:c r="C63" s="159" t="n">
        <x:f>Synthetic_Data!N63</x:f>
        <x:v>378.3</x:v>
      </x:c>
      <x:c r="D63" s="159" t="n">
        <x:f>Synthetic_Data!J63</x:f>
        <x:v>7.2</x:v>
      </x:c>
      <x:c r="E63" s="159" t="n">
        <x:f>Synthetic_Data!G63</x:f>
        <x:v>3.1</x:v>
      </x:c>
      <x:c r="F63" s="68" t="str">
        <x:f>Synthetic_Data!F63</x:f>
        <x:v>appointment_booking</x:v>
      </x:c>
    </x:row>
    <x:row r="64" ht="18" customHeight="1">
      <x:c r="A64" s="66" t="str">
        <x:f>Synthetic_Data!B64</x:f>
        <x:v>P0063</x:v>
      </x:c>
      <x:c r="B64" s="153" t="n">
        <x:f>Synthetic_Data!A64</x:f>
        <x:v>46132</x:v>
      </x:c>
      <x:c r="C64" s="159" t="n">
        <x:f>Synthetic_Data!N64</x:f>
        <x:v>383.1</x:v>
      </x:c>
      <x:c r="D64" s="159" t="n">
        <x:f>Synthetic_Data!J64</x:f>
        <x:v>4.7</x:v>
      </x:c>
      <x:c r="E64" s="159" t="n">
        <x:f>Synthetic_Data!G64</x:f>
        <x:v>3.5</x:v>
      </x:c>
      <x:c r="F64" s="68" t="str">
        <x:f>Synthetic_Data!F64</x:f>
        <x:v>billing_payment</x:v>
      </x:c>
    </x:row>
    <x:row r="65" ht="18" customHeight="1">
      <x:c r="A65" s="66" t="str">
        <x:f>Synthetic_Data!B65</x:f>
        <x:v>P0064</x:v>
      </x:c>
      <x:c r="B65" s="153" t="n">
        <x:f>Synthetic_Data!A65</x:f>
        <x:v>46132</x:v>
      </x:c>
      <x:c r="C65" s="159" t="n">
        <x:f>Synthetic_Data!N65</x:f>
        <x:v>387.1</x:v>
      </x:c>
      <x:c r="D65" s="159" t="n">
        <x:f>Synthetic_Data!J65</x:f>
        <x:v>4.1</x:v>
      </x:c>
      <x:c r="E65" s="159" t="n">
        <x:f>Synthetic_Data!G65</x:f>
        <x:v>5.3</x:v>
      </x:c>
      <x:c r="F65" s="68" t="str">
        <x:f>Synthetic_Data!F65</x:f>
        <x:v>sample_submission</x:v>
      </x:c>
    </x:row>
    <x:row r="66" ht="18" customHeight="1">
      <x:c r="A66" s="66" t="str">
        <x:f>Synthetic_Data!B66</x:f>
        <x:v>P0065</x:v>
      </x:c>
      <x:c r="B66" s="153" t="n">
        <x:f>Synthetic_Data!A66</x:f>
        <x:v>46132</x:v>
      </x:c>
      <x:c r="C66" s="159" t="n">
        <x:f>Synthetic_Data!N66</x:f>
        <x:v>405.4</x:v>
      </x:c>
      <x:c r="D66" s="159" t="n">
        <x:f>Synthetic_Data!J66</x:f>
        <x:v>18.3</x:v>
      </x:c>
      <x:c r="E66" s="159" t="n">
        <x:f>Synthetic_Data!G66</x:f>
        <x:v>4.8</x:v>
      </x:c>
      <x:c r="F66" s="68" t="str">
        <x:f>Synthetic_Data!F66</x:f>
        <x:v>registration</x:v>
      </x:c>
    </x:row>
    <x:row r="67" ht="18" customHeight="1">
      <x:c r="A67" s="66" t="str">
        <x:f>Synthetic_Data!B67</x:f>
        <x:v>P0066</x:v>
      </x:c>
      <x:c r="B67" s="153" t="n">
        <x:f>Synthetic_Data!A67</x:f>
        <x:v>46132</x:v>
      </x:c>
      <x:c r="C67" s="159" t="n">
        <x:f>Synthetic_Data!N67</x:f>
        <x:v>429</x:v>
      </x:c>
      <x:c r="D67" s="159" t="n">
        <x:f>Synthetic_Data!J67</x:f>
        <x:v>23.6</x:v>
      </x:c>
      <x:c r="E67" s="159" t="n">
        <x:f>Synthetic_Data!G67</x:f>
        <x:v>5.6</x:v>
      </x:c>
      <x:c r="F67" s="68" t="str">
        <x:f>Synthetic_Data!F67</x:f>
        <x:v>sample_submission</x:v>
      </x:c>
    </x:row>
    <x:row r="68" ht="18" customHeight="1">
      <x:c r="A68" s="66" t="str">
        <x:f>Synthetic_Data!B68</x:f>
        <x:v>P0067</x:v>
      </x:c>
      <x:c r="B68" s="153" t="n">
        <x:f>Synthetic_Data!A68</x:f>
        <x:v>46132</x:v>
      </x:c>
      <x:c r="C68" s="159" t="n">
        <x:f>Synthetic_Data!N68</x:f>
        <x:v>430.9</x:v>
      </x:c>
      <x:c r="D68" s="159" t="n">
        <x:f>Synthetic_Data!J68</x:f>
        <x:v>1.9</x:v>
      </x:c>
      <x:c r="E68" s="159" t="n">
        <x:f>Synthetic_Data!G68</x:f>
        <x:v>5</x:v>
      </x:c>
      <x:c r="F68" s="68" t="str">
        <x:f>Synthetic_Data!F68</x:f>
        <x:v>registration</x:v>
      </x:c>
    </x:row>
    <x:row r="69" ht="18" customHeight="1">
      <x:c r="A69" s="66" t="str">
        <x:f>Synthetic_Data!B69</x:f>
        <x:v>P0068</x:v>
      </x:c>
      <x:c r="B69" s="153" t="n">
        <x:f>Synthetic_Data!A69</x:f>
        <x:v>46132</x:v>
      </x:c>
      <x:c r="C69" s="159" t="n">
        <x:f>Synthetic_Data!N69</x:f>
        <x:v>439.8</x:v>
      </x:c>
      <x:c r="D69" s="159" t="n">
        <x:f>Synthetic_Data!J69</x:f>
        <x:v>8.9</x:v>
      </x:c>
      <x:c r="E69" s="159" t="n">
        <x:f>Synthetic_Data!G69</x:f>
        <x:v>4.3</x:v>
      </x:c>
      <x:c r="F69" s="68" t="str">
        <x:f>Synthetic_Data!F69</x:f>
        <x:v>registration</x:v>
      </x:c>
    </x:row>
    <x:row r="70" ht="18" customHeight="1">
      <x:c r="A70" s="66" t="str">
        <x:f>Synthetic_Data!B70</x:f>
        <x:v>P0069</x:v>
      </x:c>
      <x:c r="B70" s="153" t="n">
        <x:f>Synthetic_Data!A70</x:f>
        <x:v>46132</x:v>
      </x:c>
      <x:c r="C70" s="159" t="n">
        <x:f>Synthetic_Data!N70</x:f>
        <x:v>443.2</x:v>
      </x:c>
      <x:c r="D70" s="159" t="n">
        <x:f>Synthetic_Data!J70</x:f>
        <x:v>3.4</x:v>
      </x:c>
      <x:c r="E70" s="159" t="n">
        <x:f>Synthetic_Data!G70</x:f>
        <x:v>4.3</x:v>
      </x:c>
      <x:c r="F70" s="68" t="str">
        <x:f>Synthetic_Data!F70</x:f>
        <x:v>registration</x:v>
      </x:c>
    </x:row>
    <x:row r="71" ht="18" customHeight="1">
      <x:c r="A71" s="66" t="str">
        <x:f>Synthetic_Data!B71</x:f>
        <x:v>P0070</x:v>
      </x:c>
      <x:c r="B71" s="153" t="n">
        <x:f>Synthetic_Data!A71</x:f>
        <x:v>46132</x:v>
      </x:c>
      <x:c r="C71" s="159" t="n">
        <x:f>Synthetic_Data!N71</x:f>
        <x:v>446.2</x:v>
      </x:c>
      <x:c r="D71" s="159" t="n">
        <x:f>Synthetic_Data!J71</x:f>
        <x:v>3</x:v>
      </x:c>
      <x:c r="E71" s="159" t="n">
        <x:f>Synthetic_Data!G71</x:f>
        <x:v>3.2</x:v>
      </x:c>
      <x:c r="F71" s="68" t="str">
        <x:f>Synthetic_Data!F71</x:f>
        <x:v>report_collection</x:v>
      </x:c>
    </x:row>
    <x:row r="72" ht="18" customHeight="1">
      <x:c r="A72" s="66" t="str">
        <x:f>Synthetic_Data!B72</x:f>
        <x:v>P0071</x:v>
      </x:c>
      <x:c r="B72" s="153" t="n">
        <x:f>Synthetic_Data!A72</x:f>
        <x:v>46132</x:v>
      </x:c>
      <x:c r="C72" s="159" t="n">
        <x:f>Synthetic_Data!N72</x:f>
        <x:v>447.4</x:v>
      </x:c>
      <x:c r="D72" s="159" t="n">
        <x:f>Synthetic_Data!J72</x:f>
        <x:v>1.1</x:v>
      </x:c>
      <x:c r="E72" s="159" t="n">
        <x:f>Synthetic_Data!G72</x:f>
        <x:v>5.1</x:v>
      </x:c>
      <x:c r="F72" s="68" t="str">
        <x:f>Synthetic_Data!F72</x:f>
        <x:v>registration</x:v>
      </x:c>
    </x:row>
    <x:row r="73" ht="18" customHeight="1">
      <x:c r="A73" s="66" t="str">
        <x:f>Synthetic_Data!B73</x:f>
        <x:v>P0072</x:v>
      </x:c>
      <x:c r="B73" s="153" t="n">
        <x:f>Synthetic_Data!A73</x:f>
        <x:v>46132</x:v>
      </x:c>
      <x:c r="C73" s="159" t="n">
        <x:f>Synthetic_Data!N73</x:f>
        <x:v>448</x:v>
      </x:c>
      <x:c r="D73" s="159" t="n">
        <x:f>Synthetic_Data!J73</x:f>
        <x:v>0.6</x:v>
      </x:c>
      <x:c r="E73" s="159" t="n">
        <x:f>Synthetic_Data!G73</x:f>
        <x:v>4.9</x:v>
      </x:c>
      <x:c r="F73" s="68" t="str">
        <x:f>Synthetic_Data!F73</x:f>
        <x:v>sample_submission</x:v>
      </x:c>
    </x:row>
    <x:row r="74" ht="18" customHeight="1">
      <x:c r="A74" s="66" t="str">
        <x:f>Synthetic_Data!B74</x:f>
        <x:v>P0073</x:v>
      </x:c>
      <x:c r="B74" s="153" t="n">
        <x:f>Synthetic_Data!A74</x:f>
        <x:v>46132</x:v>
      </x:c>
      <x:c r="C74" s="159" t="n">
        <x:f>Synthetic_Data!N74</x:f>
        <x:v>449.3</x:v>
      </x:c>
      <x:c r="D74" s="159" t="n">
        <x:f>Synthetic_Data!J74</x:f>
        <x:v>1.4</x:v>
      </x:c>
      <x:c r="E74" s="159" t="n">
        <x:f>Synthetic_Data!G74</x:f>
        <x:v>1.9</x:v>
      </x:c>
      <x:c r="F74" s="68" t="str">
        <x:f>Synthetic_Data!F74</x:f>
        <x:v>inquiry</x:v>
      </x:c>
    </x:row>
    <x:row r="75" ht="18" customHeight="1">
      <x:c r="A75" s="66" t="str">
        <x:f>Synthetic_Data!B75</x:f>
        <x:v>P0074</x:v>
      </x:c>
      <x:c r="B75" s="153" t="n">
        <x:f>Synthetic_Data!A75</x:f>
        <x:v>46132</x:v>
      </x:c>
      <x:c r="C75" s="159" t="n">
        <x:f>Synthetic_Data!N75</x:f>
        <x:v>456.5</x:v>
      </x:c>
      <x:c r="D75" s="159" t="n">
        <x:f>Synthetic_Data!J75</x:f>
        <x:v>7.1</x:v>
      </x:c>
      <x:c r="E75" s="159" t="n">
        <x:f>Synthetic_Data!G75</x:f>
        <x:v>1.3</x:v>
      </x:c>
      <x:c r="F75" s="68" t="str">
        <x:f>Synthetic_Data!F75</x:f>
        <x:v>inquiry</x:v>
      </x:c>
    </x:row>
    <x:row r="76" ht="18" customHeight="1">
      <x:c r="A76" s="66" t="str">
        <x:f>Synthetic_Data!B76</x:f>
        <x:v>P0075</x:v>
      </x:c>
      <x:c r="B76" s="153" t="n">
        <x:f>Synthetic_Data!A76</x:f>
        <x:v>46132</x:v>
      </x:c>
      <x:c r="C76" s="159" t="n">
        <x:f>Synthetic_Data!N76</x:f>
        <x:v>465.4</x:v>
      </x:c>
      <x:c r="D76" s="159" t="n">
        <x:f>Synthetic_Data!J76</x:f>
        <x:v>9</x:v>
      </x:c>
      <x:c r="E76" s="159" t="n">
        <x:f>Synthetic_Data!G76</x:f>
        <x:v>4.5</x:v>
      </x:c>
      <x:c r="F76" s="68" t="str">
        <x:f>Synthetic_Data!F76</x:f>
        <x:v>appointment_booking</x:v>
      </x:c>
    </x:row>
    <x:row r="77" ht="18" customHeight="1">
      <x:c r="A77" s="66" t="str">
        <x:f>Synthetic_Data!B77</x:f>
        <x:v>P0076</x:v>
      </x:c>
      <x:c r="B77" s="153" t="n">
        <x:f>Synthetic_Data!A77</x:f>
        <x:v>46132</x:v>
      </x:c>
      <x:c r="C77" s="159" t="n">
        <x:f>Synthetic_Data!N77</x:f>
        <x:v>476.3</x:v>
      </x:c>
      <x:c r="D77" s="159" t="n">
        <x:f>Synthetic_Data!J77</x:f>
        <x:v>10.9</x:v>
      </x:c>
      <x:c r="E77" s="159" t="n">
        <x:f>Synthetic_Data!G77</x:f>
        <x:v>4.4</x:v>
      </x:c>
      <x:c r="F77" s="68" t="str">
        <x:f>Synthetic_Data!F77</x:f>
        <x:v>billing_payment</x:v>
      </x:c>
    </x:row>
    <x:row r="78" ht="18" customHeight="1">
      <x:c r="A78" s="66" t="str">
        <x:f>Synthetic_Data!B78</x:f>
        <x:v>P0077</x:v>
      </x:c>
      <x:c r="B78" s="153" t="n">
        <x:f>Synthetic_Data!A78</x:f>
        <x:v>46133</x:v>
      </x:c>
      <x:c r="C78" s="159" t="n">
        <x:f>Synthetic_Data!N78</x:f>
        <x:v>5.8</x:v>
      </x:c>
      <x:c r="D78" s="159" t="n">
        <x:f>Synthetic_Data!J78</x:f>
        <x:v>0</x:v>
      </x:c>
      <x:c r="E78" s="159" t="n">
        <x:f>Synthetic_Data!G78</x:f>
        <x:v>3.8</x:v>
      </x:c>
      <x:c r="F78" s="68" t="str">
        <x:f>Synthetic_Data!F78</x:f>
        <x:v>registration</x:v>
      </x:c>
    </x:row>
    <x:row r="79" ht="18" customHeight="1">
      <x:c r="A79" s="66" t="str">
        <x:f>Synthetic_Data!B79</x:f>
        <x:v>P0078</x:v>
      </x:c>
      <x:c r="B79" s="153" t="n">
        <x:f>Synthetic_Data!A79</x:f>
        <x:v>46133</x:v>
      </x:c>
      <x:c r="C79" s="159" t="n">
        <x:f>Synthetic_Data!N79</x:f>
        <x:v>10.5</x:v>
      </x:c>
      <x:c r="D79" s="159" t="n">
        <x:f>Synthetic_Data!J79</x:f>
        <x:v>4.7</x:v>
      </x:c>
      <x:c r="E79" s="159" t="n">
        <x:f>Synthetic_Data!G79</x:f>
        <x:v>3.7</x:v>
      </x:c>
      <x:c r="F79" s="68" t="str">
        <x:f>Synthetic_Data!F79</x:f>
        <x:v>registration</x:v>
      </x:c>
    </x:row>
    <x:row r="80" ht="18" customHeight="1">
      <x:c r="A80" s="66" t="str">
        <x:f>Synthetic_Data!B80</x:f>
        <x:v>P0079</x:v>
      </x:c>
      <x:c r="B80" s="153" t="n">
        <x:f>Synthetic_Data!A80</x:f>
        <x:v>46133</x:v>
      </x:c>
      <x:c r="C80" s="159" t="n">
        <x:f>Synthetic_Data!N80</x:f>
        <x:v>21.4</x:v>
      </x:c>
      <x:c r="D80" s="159" t="n">
        <x:f>Synthetic_Data!J80</x:f>
        <x:v>10.9</x:v>
      </x:c>
      <x:c r="E80" s="159" t="n">
        <x:f>Synthetic_Data!G80</x:f>
        <x:v>1</x:v>
      </x:c>
      <x:c r="F80" s="68" t="str">
        <x:f>Synthetic_Data!F80</x:f>
        <x:v>inquiry</x:v>
      </x:c>
    </x:row>
    <x:row r="81" ht="18" customHeight="1">
      <x:c r="A81" s="66" t="str">
        <x:f>Synthetic_Data!B81</x:f>
        <x:v>P0080</x:v>
      </x:c>
      <x:c r="B81" s="153" t="n">
        <x:f>Synthetic_Data!A81</x:f>
        <x:v>46133</x:v>
      </x:c>
      <x:c r="C81" s="159" t="n">
        <x:f>Synthetic_Data!N81</x:f>
        <x:v>23.1</x:v>
      </x:c>
      <x:c r="D81" s="159" t="n">
        <x:f>Synthetic_Data!J81</x:f>
        <x:v>1.6</x:v>
      </x:c>
      <x:c r="E81" s="159" t="n">
        <x:f>Synthetic_Data!G81</x:f>
        <x:v>3.4</x:v>
      </x:c>
      <x:c r="F81" s="68" t="str">
        <x:f>Synthetic_Data!F81</x:f>
        <x:v>sample_submission</x:v>
      </x:c>
    </x:row>
    <x:row r="82" ht="18" customHeight="1">
      <x:c r="A82" s="66" t="str">
        <x:f>Synthetic_Data!B82</x:f>
        <x:v>P0081</x:v>
      </x:c>
      <x:c r="B82" s="153" t="n">
        <x:f>Synthetic_Data!A82</x:f>
        <x:v>46133</x:v>
      </x:c>
      <x:c r="C82" s="159" t="n">
        <x:f>Synthetic_Data!N82</x:f>
        <x:v>24.7</x:v>
      </x:c>
      <x:c r="D82" s="159" t="n">
        <x:f>Synthetic_Data!J82</x:f>
        <x:v>1.7</x:v>
      </x:c>
      <x:c r="E82" s="159" t="n">
        <x:f>Synthetic_Data!G82</x:f>
        <x:v>0.7</x:v>
      </x:c>
      <x:c r="F82" s="68" t="str">
        <x:f>Synthetic_Data!F82</x:f>
        <x:v>inquiry</x:v>
      </x:c>
    </x:row>
    <x:row r="83" ht="18" customHeight="1">
      <x:c r="A83" s="66" t="str">
        <x:f>Synthetic_Data!B83</x:f>
        <x:v>P0082</x:v>
      </x:c>
      <x:c r="B83" s="153" t="n">
        <x:f>Synthetic_Data!A83</x:f>
        <x:v>46133</x:v>
      </x:c>
      <x:c r="C83" s="159" t="n">
        <x:f>Synthetic_Data!N83</x:f>
        <x:v>27.3</x:v>
      </x:c>
      <x:c r="D83" s="159" t="n">
        <x:f>Synthetic_Data!J83</x:f>
        <x:v>2.6</x:v>
      </x:c>
      <x:c r="E83" s="159" t="n">
        <x:f>Synthetic_Data!G83</x:f>
        <x:v>4.9</x:v>
      </x:c>
      <x:c r="F83" s="68" t="str">
        <x:f>Synthetic_Data!F83</x:f>
        <x:v>billing_payment</x:v>
      </x:c>
    </x:row>
    <x:row r="84" ht="18" customHeight="1">
      <x:c r="A84" s="66" t="str">
        <x:f>Synthetic_Data!B84</x:f>
        <x:v>P0083</x:v>
      </x:c>
      <x:c r="B84" s="153" t="n">
        <x:f>Synthetic_Data!A84</x:f>
        <x:v>46133</x:v>
      </x:c>
      <x:c r="C84" s="159" t="n">
        <x:f>Synthetic_Data!N84</x:f>
        <x:v>30.5</x:v>
      </x:c>
      <x:c r="D84" s="159" t="n">
        <x:f>Synthetic_Data!J84</x:f>
        <x:v>3.1</x:v>
      </x:c>
      <x:c r="E84" s="159" t="n">
        <x:f>Synthetic_Data!G84</x:f>
        <x:v>4.2</x:v>
      </x:c>
      <x:c r="F84" s="68" t="str">
        <x:f>Synthetic_Data!F84</x:f>
        <x:v>registration</x:v>
      </x:c>
    </x:row>
    <x:row r="85" ht="18" customHeight="1">
      <x:c r="A85" s="66" t="str">
        <x:f>Synthetic_Data!B85</x:f>
        <x:v>P0084</x:v>
      </x:c>
      <x:c r="B85" s="153" t="n">
        <x:f>Synthetic_Data!A85</x:f>
        <x:v>46133</x:v>
      </x:c>
      <x:c r="C85" s="159" t="n">
        <x:f>Synthetic_Data!N85</x:f>
        <x:v>35.9</x:v>
      </x:c>
      <x:c r="D85" s="159" t="n">
        <x:f>Synthetic_Data!J85</x:f>
        <x:v>5.4</x:v>
      </x:c>
      <x:c r="E85" s="159" t="n">
        <x:f>Synthetic_Data!G85</x:f>
        <x:v>3</x:v>
      </x:c>
      <x:c r="F85" s="68" t="str">
        <x:f>Synthetic_Data!F85</x:f>
        <x:v>registration</x:v>
      </x:c>
    </x:row>
    <x:row r="86" ht="18" customHeight="1">
      <x:c r="A86" s="66" t="str">
        <x:f>Synthetic_Data!B86</x:f>
        <x:v>P0085</x:v>
      </x:c>
      <x:c r="B86" s="153" t="n">
        <x:f>Synthetic_Data!A86</x:f>
        <x:v>46133</x:v>
      </x:c>
      <x:c r="C86" s="159" t="n">
        <x:f>Synthetic_Data!N86</x:f>
        <x:v>38.7</x:v>
      </x:c>
      <x:c r="D86" s="159" t="n">
        <x:f>Synthetic_Data!J86</x:f>
        <x:v>2.8</x:v>
      </x:c>
      <x:c r="E86" s="159" t="n">
        <x:f>Synthetic_Data!G86</x:f>
        <x:v>4.2</x:v>
      </x:c>
      <x:c r="F86" s="68" t="str">
        <x:f>Synthetic_Data!F86</x:f>
        <x:v>sample_submission</x:v>
      </x:c>
    </x:row>
    <x:row r="87" ht="18" customHeight="1">
      <x:c r="A87" s="66" t="str">
        <x:f>Synthetic_Data!B87</x:f>
        <x:v>P0086</x:v>
      </x:c>
      <x:c r="B87" s="153" t="n">
        <x:f>Synthetic_Data!A87</x:f>
        <x:v>46133</x:v>
      </x:c>
      <x:c r="C87" s="159" t="n">
        <x:f>Synthetic_Data!N87</x:f>
        <x:v>42.1</x:v>
      </x:c>
      <x:c r="D87" s="159" t="n">
        <x:f>Synthetic_Data!J87</x:f>
        <x:v>3.4</x:v>
      </x:c>
      <x:c r="E87" s="159" t="n">
        <x:f>Synthetic_Data!G87</x:f>
        <x:v>5.3</x:v>
      </x:c>
      <x:c r="F87" s="68" t="str">
        <x:f>Synthetic_Data!F87</x:f>
        <x:v>registration</x:v>
      </x:c>
    </x:row>
    <x:row r="88" ht="18" customHeight="1">
      <x:c r="A88" s="66" t="str">
        <x:f>Synthetic_Data!B88</x:f>
        <x:v>P0087</x:v>
      </x:c>
      <x:c r="B88" s="153" t="n">
        <x:f>Synthetic_Data!A88</x:f>
        <x:v>46133</x:v>
      </x:c>
      <x:c r="C88" s="159" t="n">
        <x:f>Synthetic_Data!N88</x:f>
        <x:v>47.4</x:v>
      </x:c>
      <x:c r="D88" s="159" t="n">
        <x:f>Synthetic_Data!J88</x:f>
        <x:v>5.3</x:v>
      </x:c>
      <x:c r="E88" s="159" t="n">
        <x:f>Synthetic_Data!G88</x:f>
        <x:v>4</x:v>
      </x:c>
      <x:c r="F88" s="68" t="str">
        <x:f>Synthetic_Data!F88</x:f>
        <x:v>registration</x:v>
      </x:c>
    </x:row>
    <x:row r="89" ht="18" customHeight="1">
      <x:c r="A89" s="66" t="str">
        <x:f>Synthetic_Data!B89</x:f>
        <x:v>P0088</x:v>
      </x:c>
      <x:c r="B89" s="153" t="n">
        <x:f>Synthetic_Data!A89</x:f>
        <x:v>46133</x:v>
      </x:c>
      <x:c r="C89" s="159" t="n">
        <x:f>Synthetic_Data!N89</x:f>
        <x:v>48.2</x:v>
      </x:c>
      <x:c r="D89" s="159" t="n">
        <x:f>Synthetic_Data!J89</x:f>
        <x:v>0.8</x:v>
      </x:c>
      <x:c r="E89" s="159" t="n">
        <x:f>Synthetic_Data!G89</x:f>
        <x:v>5.9</x:v>
      </x:c>
      <x:c r="F89" s="68" t="str">
        <x:f>Synthetic_Data!F89</x:f>
        <x:v>sample_submission</x:v>
      </x:c>
    </x:row>
    <x:row r="90" ht="18" customHeight="1">
      <x:c r="A90" s="66" t="str">
        <x:f>Synthetic_Data!B90</x:f>
        <x:v>P0089</x:v>
      </x:c>
      <x:c r="B90" s="153" t="n">
        <x:f>Synthetic_Data!A90</x:f>
        <x:v>46133</x:v>
      </x:c>
      <x:c r="C90" s="159" t="n">
        <x:f>Synthetic_Data!N90</x:f>
        <x:v>50.9</x:v>
      </x:c>
      <x:c r="D90" s="159" t="n">
        <x:f>Synthetic_Data!J90</x:f>
        <x:v>2.7</x:v>
      </x:c>
      <x:c r="E90" s="159" t="n">
        <x:f>Synthetic_Data!G90</x:f>
        <x:v>5.9</x:v>
      </x:c>
      <x:c r="F90" s="68" t="str">
        <x:f>Synthetic_Data!F90</x:f>
        <x:v>registration</x:v>
      </x:c>
    </x:row>
    <x:row r="91" ht="18" customHeight="1">
      <x:c r="A91" s="66" t="str">
        <x:f>Synthetic_Data!B91</x:f>
        <x:v>P0090</x:v>
      </x:c>
      <x:c r="B91" s="153" t="n">
        <x:f>Synthetic_Data!A91</x:f>
        <x:v>46133</x:v>
      </x:c>
      <x:c r="C91" s="159" t="n">
        <x:f>Synthetic_Data!N91</x:f>
        <x:v>52.5</x:v>
      </x:c>
      <x:c r="D91" s="159" t="n">
        <x:f>Synthetic_Data!J91</x:f>
        <x:v>1.6</x:v>
      </x:c>
      <x:c r="E91" s="159" t="n">
        <x:f>Synthetic_Data!G91</x:f>
        <x:v>2.4</x:v>
      </x:c>
      <x:c r="F91" s="68" t="str">
        <x:f>Synthetic_Data!F91</x:f>
        <x:v>report_collection</x:v>
      </x:c>
    </x:row>
    <x:row r="92" ht="18" customHeight="1">
      <x:c r="A92" s="66" t="str">
        <x:f>Synthetic_Data!B92</x:f>
        <x:v>P0091</x:v>
      </x:c>
      <x:c r="B92" s="153" t="n">
        <x:f>Synthetic_Data!A92</x:f>
        <x:v>46133</x:v>
      </x:c>
      <x:c r="C92" s="159" t="n">
        <x:f>Synthetic_Data!N92</x:f>
        <x:v>53</x:v>
      </x:c>
      <x:c r="D92" s="159" t="n">
        <x:f>Synthetic_Data!J92</x:f>
        <x:v>0.5</x:v>
      </x:c>
      <x:c r="E92" s="159" t="n">
        <x:f>Synthetic_Data!G92</x:f>
        <x:v>5.8</x:v>
      </x:c>
      <x:c r="F92" s="68" t="str">
        <x:f>Synthetic_Data!F92</x:f>
        <x:v>sample_submission</x:v>
      </x:c>
    </x:row>
    <x:row r="93" ht="18" customHeight="1">
      <x:c r="A93" s="66" t="str">
        <x:f>Synthetic_Data!B93</x:f>
        <x:v>P0092</x:v>
      </x:c>
      <x:c r="B93" s="153" t="n">
        <x:f>Synthetic_Data!A93</x:f>
        <x:v>46133</x:v>
      </x:c>
      <x:c r="C93" s="159" t="n">
        <x:f>Synthetic_Data!N93</x:f>
        <x:v>54.3</x:v>
      </x:c>
      <x:c r="D93" s="159" t="n">
        <x:f>Synthetic_Data!J93</x:f>
        <x:v>1.3</x:v>
      </x:c>
      <x:c r="E93" s="159" t="n">
        <x:f>Synthetic_Data!G93</x:f>
        <x:v>7.1</x:v>
      </x:c>
      <x:c r="F93" s="68" t="str">
        <x:f>Synthetic_Data!F93</x:f>
        <x:v>sample_submission</x:v>
      </x:c>
    </x:row>
    <x:row r="94" ht="18" customHeight="1">
      <x:c r="A94" s="66" t="str">
        <x:f>Synthetic_Data!B94</x:f>
        <x:v>P0093</x:v>
      </x:c>
      <x:c r="B94" s="153" t="n">
        <x:f>Synthetic_Data!A94</x:f>
        <x:v>46133</x:v>
      </x:c>
      <x:c r="C94" s="159" t="n">
        <x:f>Synthetic_Data!N94</x:f>
        <x:v>54.8</x:v>
      </x:c>
      <x:c r="D94" s="159" t="n">
        <x:f>Synthetic_Data!J94</x:f>
        <x:v>0.5</x:v>
      </x:c>
      <x:c r="E94" s="159" t="n">
        <x:f>Synthetic_Data!G94</x:f>
        <x:v>3.6</x:v>
      </x:c>
      <x:c r="F94" s="68" t="str">
        <x:f>Synthetic_Data!F94</x:f>
        <x:v>appointment_booking</x:v>
      </x:c>
    </x:row>
    <x:row r="95" ht="18" customHeight="1">
      <x:c r="A95" s="66" t="str">
        <x:f>Synthetic_Data!B95</x:f>
        <x:v>P0094</x:v>
      </x:c>
      <x:c r="B95" s="153" t="n">
        <x:f>Synthetic_Data!A95</x:f>
        <x:v>46133</x:v>
      </x:c>
      <x:c r="C95" s="159" t="n">
        <x:f>Synthetic_Data!N95</x:f>
        <x:v>63.2</x:v>
      </x:c>
      <x:c r="D95" s="159" t="n">
        <x:f>Synthetic_Data!J95</x:f>
        <x:v>8.4</x:v>
      </x:c>
      <x:c r="E95" s="159" t="n">
        <x:f>Synthetic_Data!G95</x:f>
        <x:v>5.5</x:v>
      </x:c>
      <x:c r="F95" s="68" t="str">
        <x:f>Synthetic_Data!F95</x:f>
        <x:v>registration</x:v>
      </x:c>
    </x:row>
    <x:row r="96" ht="18" customHeight="1">
      <x:c r="A96" s="66" t="str">
        <x:f>Synthetic_Data!B96</x:f>
        <x:v>P0095</x:v>
      </x:c>
      <x:c r="B96" s="153" t="n">
        <x:f>Synthetic_Data!A96</x:f>
        <x:v>46133</x:v>
      </x:c>
      <x:c r="C96" s="159" t="n">
        <x:f>Synthetic_Data!N96</x:f>
        <x:v>64.1</x:v>
      </x:c>
      <x:c r="D96" s="159" t="n">
        <x:f>Synthetic_Data!J96</x:f>
        <x:v>0.8</x:v>
      </x:c>
      <x:c r="E96" s="159" t="n">
        <x:f>Synthetic_Data!G96</x:f>
        <x:v>4.7</x:v>
      </x:c>
      <x:c r="F96" s="68" t="str">
        <x:f>Synthetic_Data!F96</x:f>
        <x:v>appointment_booking</x:v>
      </x:c>
    </x:row>
    <x:row r="97" ht="18" customHeight="1">
      <x:c r="A97" s="66" t="str">
        <x:f>Synthetic_Data!B97</x:f>
        <x:v>P0096</x:v>
      </x:c>
      <x:c r="B97" s="153" t="n">
        <x:f>Synthetic_Data!A97</x:f>
        <x:v>46133</x:v>
      </x:c>
      <x:c r="C97" s="159" t="n">
        <x:f>Synthetic_Data!N97</x:f>
        <x:v>71.4</x:v>
      </x:c>
      <x:c r="D97" s="159" t="n">
        <x:f>Synthetic_Data!J97</x:f>
        <x:v>7.3</x:v>
      </x:c>
      <x:c r="E97" s="159" t="n">
        <x:f>Synthetic_Data!G97</x:f>
        <x:v>1.6</x:v>
      </x:c>
      <x:c r="F97" s="68" t="str">
        <x:f>Synthetic_Data!F97</x:f>
        <x:v>report_collection</x:v>
      </x:c>
    </x:row>
    <x:row r="98" ht="18" customHeight="1">
      <x:c r="A98" s="66" t="str">
        <x:f>Synthetic_Data!B98</x:f>
        <x:v>P0097</x:v>
      </x:c>
      <x:c r="B98" s="153" t="n">
        <x:f>Synthetic_Data!A98</x:f>
        <x:v>46133</x:v>
      </x:c>
      <x:c r="C98" s="159" t="n">
        <x:f>Synthetic_Data!N98</x:f>
        <x:v>84.6</x:v>
      </x:c>
      <x:c r="D98" s="159" t="n">
        <x:f>Synthetic_Data!J98</x:f>
        <x:v>13.3</x:v>
      </x:c>
      <x:c r="E98" s="159" t="n">
        <x:f>Synthetic_Data!G98</x:f>
        <x:v>2.3</x:v>
      </x:c>
      <x:c r="F98" s="68" t="str">
        <x:f>Synthetic_Data!F98</x:f>
        <x:v>report_collection</x:v>
      </x:c>
    </x:row>
    <x:row r="99" ht="18" customHeight="1">
      <x:c r="A99" s="66" t="str">
        <x:f>Synthetic_Data!B99</x:f>
        <x:v>P0098</x:v>
      </x:c>
      <x:c r="B99" s="153" t="n">
        <x:f>Synthetic_Data!A99</x:f>
        <x:v>46133</x:v>
      </x:c>
      <x:c r="C99" s="159" t="n">
        <x:f>Synthetic_Data!N99</x:f>
        <x:v>85</x:v>
      </x:c>
      <x:c r="D99" s="159" t="n">
        <x:f>Synthetic_Data!J99</x:f>
        <x:v>0.4</x:v>
      </x:c>
      <x:c r="E99" s="159" t="n">
        <x:f>Synthetic_Data!G99</x:f>
        <x:v>1.2</x:v>
      </x:c>
      <x:c r="F99" s="68" t="str">
        <x:f>Synthetic_Data!F99</x:f>
        <x:v>report_collection</x:v>
      </x:c>
    </x:row>
    <x:row r="100" ht="18" customHeight="1">
      <x:c r="A100" s="66" t="str">
        <x:f>Synthetic_Data!B100</x:f>
        <x:v>P0099</x:v>
      </x:c>
      <x:c r="B100" s="153" t="n">
        <x:f>Synthetic_Data!A100</x:f>
        <x:v>46133</x:v>
      </x:c>
      <x:c r="C100" s="159" t="n">
        <x:f>Synthetic_Data!N100</x:f>
        <x:v>87.3</x:v>
      </x:c>
      <x:c r="D100" s="159" t="n">
        <x:f>Synthetic_Data!J100</x:f>
        <x:v>2.3</x:v>
      </x:c>
      <x:c r="E100" s="159" t="n">
        <x:f>Synthetic_Data!G100</x:f>
        <x:v>3.6</x:v>
      </x:c>
      <x:c r="F100" s="68" t="str">
        <x:f>Synthetic_Data!F100</x:f>
        <x:v>sample_submission</x:v>
      </x:c>
    </x:row>
    <x:row r="101" ht="18" customHeight="1">
      <x:c r="A101" s="66" t="str">
        <x:f>Synthetic_Data!B101</x:f>
        <x:v>P0100</x:v>
      </x:c>
      <x:c r="B101" s="153" t="n">
        <x:f>Synthetic_Data!A101</x:f>
        <x:v>46133</x:v>
      </x:c>
      <x:c r="C101" s="159" t="n">
        <x:f>Synthetic_Data!N101</x:f>
        <x:v>98.9</x:v>
      </x:c>
      <x:c r="D101" s="159" t="n">
        <x:f>Synthetic_Data!J101</x:f>
        <x:v>11.6</x:v>
      </x:c>
      <x:c r="E101" s="159" t="n">
        <x:f>Synthetic_Data!G101</x:f>
        <x:v>5.4</x:v>
      </x:c>
      <x:c r="F101" s="68" t="str">
        <x:f>Synthetic_Data!F101</x:f>
        <x:v>sample_submission</x:v>
      </x:c>
    </x:row>
    <x:row r="102" ht="18" customHeight="1">
      <x:c r="A102" s="66" t="str">
        <x:f>Synthetic_Data!B102</x:f>
        <x:v>P0101</x:v>
      </x:c>
      <x:c r="B102" s="153" t="n">
        <x:f>Synthetic_Data!A102</x:f>
        <x:v>46133</x:v>
      </x:c>
      <x:c r="C102" s="159" t="n">
        <x:f>Synthetic_Data!N102</x:f>
        <x:v>102.9</x:v>
      </x:c>
      <x:c r="D102" s="159" t="n">
        <x:f>Synthetic_Data!J102</x:f>
        <x:v>4</x:v>
      </x:c>
      <x:c r="E102" s="159" t="n">
        <x:f>Synthetic_Data!G102</x:f>
        <x:v>3.5</x:v>
      </x:c>
      <x:c r="F102" s="68" t="str">
        <x:f>Synthetic_Data!F102</x:f>
        <x:v>billing_payment</x:v>
      </x:c>
    </x:row>
    <x:row r="103" ht="18" customHeight="1">
      <x:c r="A103" s="66" t="str">
        <x:f>Synthetic_Data!B103</x:f>
        <x:v>P0102</x:v>
      </x:c>
      <x:c r="B103" s="153" t="n">
        <x:f>Synthetic_Data!A103</x:f>
        <x:v>46133</x:v>
      </x:c>
      <x:c r="C103" s="159" t="n">
        <x:f>Synthetic_Data!N103</x:f>
        <x:v>131.7</x:v>
      </x:c>
      <x:c r="D103" s="159" t="n">
        <x:f>Synthetic_Data!J103</x:f>
        <x:v>28.8</x:v>
      </x:c>
      <x:c r="E103" s="159" t="n">
        <x:f>Synthetic_Data!G103</x:f>
        <x:v>4.6</x:v>
      </x:c>
      <x:c r="F103" s="68" t="str">
        <x:f>Synthetic_Data!F103</x:f>
        <x:v>sample_submission</x:v>
      </x:c>
    </x:row>
    <x:row r="104" ht="18" customHeight="1">
      <x:c r="A104" s="66" t="str">
        <x:f>Synthetic_Data!B104</x:f>
        <x:v>P0103</x:v>
      </x:c>
      <x:c r="B104" s="153" t="n">
        <x:f>Synthetic_Data!A104</x:f>
        <x:v>46133</x:v>
      </x:c>
      <x:c r="C104" s="159" t="n">
        <x:f>Synthetic_Data!N104</x:f>
        <x:v>135.7</x:v>
      </x:c>
      <x:c r="D104" s="159" t="n">
        <x:f>Synthetic_Data!J104</x:f>
        <x:v>4.1</x:v>
      </x:c>
      <x:c r="E104" s="159" t="n">
        <x:f>Synthetic_Data!G104</x:f>
        <x:v>1.7</x:v>
      </x:c>
      <x:c r="F104" s="68" t="str">
        <x:f>Synthetic_Data!F104</x:f>
        <x:v>inquiry</x:v>
      </x:c>
    </x:row>
    <x:row r="105" ht="18" customHeight="1">
      <x:c r="A105" s="66" t="str">
        <x:f>Synthetic_Data!B105</x:f>
        <x:v>P0104</x:v>
      </x:c>
      <x:c r="B105" s="153" t="n">
        <x:f>Synthetic_Data!A105</x:f>
        <x:v>46133</x:v>
      </x:c>
      <x:c r="C105" s="159" t="n">
        <x:f>Synthetic_Data!N105</x:f>
        <x:v>136.3</x:v>
      </x:c>
      <x:c r="D105" s="159" t="n">
        <x:f>Synthetic_Data!J105</x:f>
        <x:v>0.5</x:v>
      </x:c>
      <x:c r="E105" s="159" t="n">
        <x:f>Synthetic_Data!G105</x:f>
        <x:v>2.5</x:v>
      </x:c>
      <x:c r="F105" s="68" t="str">
        <x:f>Synthetic_Data!F105</x:f>
        <x:v>appointment_booking</x:v>
      </x:c>
    </x:row>
    <x:row r="106" ht="18" customHeight="1">
      <x:c r="A106" s="66" t="str">
        <x:f>Synthetic_Data!B106</x:f>
        <x:v>P0105</x:v>
      </x:c>
      <x:c r="B106" s="153" t="n">
        <x:f>Synthetic_Data!A106</x:f>
        <x:v>46133</x:v>
      </x:c>
      <x:c r="C106" s="159" t="n">
        <x:f>Synthetic_Data!N106</x:f>
        <x:v>137.5</x:v>
      </x:c>
      <x:c r="D106" s="159" t="n">
        <x:f>Synthetic_Data!J106</x:f>
        <x:v>1.2</x:v>
      </x:c>
      <x:c r="E106" s="159" t="n">
        <x:f>Synthetic_Data!G106</x:f>
        <x:v>1</x:v>
      </x:c>
      <x:c r="F106" s="68" t="str">
        <x:f>Synthetic_Data!F106</x:f>
        <x:v>report_collection</x:v>
      </x:c>
    </x:row>
    <x:row r="107" ht="18" customHeight="1">
      <x:c r="A107" s="66" t="str">
        <x:f>Synthetic_Data!B107</x:f>
        <x:v>P0106</x:v>
      </x:c>
      <x:c r="B107" s="153" t="n">
        <x:f>Synthetic_Data!A107</x:f>
        <x:v>46133</x:v>
      </x:c>
      <x:c r="C107" s="159" t="n">
        <x:f>Synthetic_Data!N107</x:f>
        <x:v>138.5</x:v>
      </x:c>
      <x:c r="D107" s="159" t="n">
        <x:f>Synthetic_Data!J107</x:f>
        <x:v>1</x:v>
      </x:c>
      <x:c r="E107" s="159" t="n">
        <x:f>Synthetic_Data!G107</x:f>
        <x:v>3.1</x:v>
      </x:c>
      <x:c r="F107" s="68" t="str">
        <x:f>Synthetic_Data!F107</x:f>
        <x:v>billing_payment</x:v>
      </x:c>
    </x:row>
    <x:row r="108" ht="18" customHeight="1">
      <x:c r="A108" s="66" t="str">
        <x:f>Synthetic_Data!B108</x:f>
        <x:v>P0107</x:v>
      </x:c>
      <x:c r="B108" s="153" t="n">
        <x:f>Synthetic_Data!A108</x:f>
        <x:v>46133</x:v>
      </x:c>
      <x:c r="C108" s="159" t="n">
        <x:f>Synthetic_Data!N108</x:f>
        <x:v>160</x:v>
      </x:c>
      <x:c r="D108" s="159" t="n">
        <x:f>Synthetic_Data!J108</x:f>
        <x:v>21.5</x:v>
      </x:c>
      <x:c r="E108" s="159" t="n">
        <x:f>Synthetic_Data!G108</x:f>
        <x:v>5.9</x:v>
      </x:c>
      <x:c r="F108" s="68" t="str">
        <x:f>Synthetic_Data!F108</x:f>
        <x:v>sample_submission</x:v>
      </x:c>
    </x:row>
    <x:row r="109" ht="18" customHeight="1">
      <x:c r="A109" s="66" t="str">
        <x:f>Synthetic_Data!B109</x:f>
        <x:v>P0108</x:v>
      </x:c>
      <x:c r="B109" s="153" t="n">
        <x:f>Synthetic_Data!A109</x:f>
        <x:v>46133</x:v>
      </x:c>
      <x:c r="C109" s="159" t="n">
        <x:f>Synthetic_Data!N109</x:f>
        <x:v>165.2</x:v>
      </x:c>
      <x:c r="D109" s="159" t="n">
        <x:f>Synthetic_Data!J109</x:f>
        <x:v>5.2</x:v>
      </x:c>
      <x:c r="E109" s="159" t="n">
        <x:f>Synthetic_Data!G109</x:f>
        <x:v>1.6</x:v>
      </x:c>
      <x:c r="F109" s="68" t="str">
        <x:f>Synthetic_Data!F109</x:f>
        <x:v>report_collection</x:v>
      </x:c>
    </x:row>
    <x:row r="110" ht="18" customHeight="1">
      <x:c r="A110" s="66" t="str">
        <x:f>Synthetic_Data!B110</x:f>
        <x:v>P0109</x:v>
      </x:c>
      <x:c r="B110" s="153" t="n">
        <x:f>Synthetic_Data!A110</x:f>
        <x:v>46133</x:v>
      </x:c>
      <x:c r="C110" s="159" t="n">
        <x:f>Synthetic_Data!N110</x:f>
        <x:v>165.3</x:v>
      </x:c>
      <x:c r="D110" s="159" t="n">
        <x:f>Synthetic_Data!J110</x:f>
        <x:v>0.1</x:v>
      </x:c>
      <x:c r="E110" s="159" t="n">
        <x:f>Synthetic_Data!G110</x:f>
        <x:v>3.5</x:v>
      </x:c>
      <x:c r="F110" s="68" t="str">
        <x:f>Synthetic_Data!F110</x:f>
        <x:v>registration</x:v>
      </x:c>
    </x:row>
    <x:row r="111" ht="18" customHeight="1">
      <x:c r="A111" s="66" t="str">
        <x:f>Synthetic_Data!B111</x:f>
        <x:v>P0110</x:v>
      </x:c>
      <x:c r="B111" s="153" t="n">
        <x:f>Synthetic_Data!A111</x:f>
        <x:v>46133</x:v>
      </x:c>
      <x:c r="C111" s="159" t="n">
        <x:f>Synthetic_Data!N111</x:f>
        <x:v>166.9</x:v>
      </x:c>
      <x:c r="D111" s="159" t="n">
        <x:f>Synthetic_Data!J111</x:f>
        <x:v>1.6</x:v>
      </x:c>
      <x:c r="E111" s="159" t="n">
        <x:f>Synthetic_Data!G111</x:f>
        <x:v>4</x:v>
      </x:c>
      <x:c r="F111" s="68" t="str">
        <x:f>Synthetic_Data!F111</x:f>
        <x:v>registration</x:v>
      </x:c>
    </x:row>
    <x:row r="112" ht="18" customHeight="1">
      <x:c r="A112" s="66" t="str">
        <x:f>Synthetic_Data!B112</x:f>
        <x:v>P0111</x:v>
      </x:c>
      <x:c r="B112" s="153" t="n">
        <x:f>Synthetic_Data!A112</x:f>
        <x:v>46133</x:v>
      </x:c>
      <x:c r="C112" s="159" t="n">
        <x:f>Synthetic_Data!N112</x:f>
        <x:v>173.5</x:v>
      </x:c>
      <x:c r="D112" s="159" t="n">
        <x:f>Synthetic_Data!J112</x:f>
        <x:v>6.7</x:v>
      </x:c>
      <x:c r="E112" s="159" t="n">
        <x:f>Synthetic_Data!G112</x:f>
        <x:v>0.7</x:v>
      </x:c>
      <x:c r="F112" s="68" t="str">
        <x:f>Synthetic_Data!F112</x:f>
        <x:v>inquiry</x:v>
      </x:c>
    </x:row>
    <x:row r="113" ht="18" customHeight="1">
      <x:c r="A113" s="66" t="str">
        <x:f>Synthetic_Data!B113</x:f>
        <x:v>P0112</x:v>
      </x:c>
      <x:c r="B113" s="153" t="n">
        <x:f>Synthetic_Data!A113</x:f>
        <x:v>46133</x:v>
      </x:c>
      <x:c r="C113" s="159" t="n">
        <x:f>Synthetic_Data!N113</x:f>
        <x:v>179</x:v>
      </x:c>
      <x:c r="D113" s="159" t="n">
        <x:f>Synthetic_Data!J113</x:f>
        <x:v>5.4</x:v>
      </x:c>
      <x:c r="E113" s="159" t="n">
        <x:f>Synthetic_Data!G113</x:f>
        <x:v>1.9</x:v>
      </x:c>
      <x:c r="F113" s="68" t="str">
        <x:f>Synthetic_Data!F113</x:f>
        <x:v>report_collection</x:v>
      </x:c>
    </x:row>
    <x:row r="114" ht="18" customHeight="1">
      <x:c r="A114" s="66" t="str">
        <x:f>Synthetic_Data!B114</x:f>
        <x:v>P0113</x:v>
      </x:c>
      <x:c r="B114" s="153" t="n">
        <x:f>Synthetic_Data!A114</x:f>
        <x:v>46133</x:v>
      </x:c>
      <x:c r="C114" s="159" t="n">
        <x:f>Synthetic_Data!N114</x:f>
        <x:v>200.6</x:v>
      </x:c>
      <x:c r="D114" s="159" t="n">
        <x:f>Synthetic_Data!J114</x:f>
        <x:v>21.6</x:v>
      </x:c>
      <x:c r="E114" s="159" t="n">
        <x:f>Synthetic_Data!G114</x:f>
        <x:v>3.3</x:v>
      </x:c>
      <x:c r="F114" s="68" t="str">
        <x:f>Synthetic_Data!F114</x:f>
        <x:v>registration</x:v>
      </x:c>
    </x:row>
    <x:row r="115" ht="18" customHeight="1">
      <x:c r="A115" s="66" t="str">
        <x:f>Synthetic_Data!B115</x:f>
        <x:v>P0114</x:v>
      </x:c>
      <x:c r="B115" s="153" t="n">
        <x:f>Synthetic_Data!A115</x:f>
        <x:v>46133</x:v>
      </x:c>
      <x:c r="C115" s="159" t="n">
        <x:f>Synthetic_Data!N115</x:f>
        <x:v>211.7</x:v>
      </x:c>
      <x:c r="D115" s="159" t="n">
        <x:f>Synthetic_Data!J115</x:f>
        <x:v>11.1</x:v>
      </x:c>
      <x:c r="E115" s="159" t="n">
        <x:f>Synthetic_Data!G115</x:f>
        <x:v>2.9</x:v>
      </x:c>
      <x:c r="F115" s="68" t="str">
        <x:f>Synthetic_Data!F115</x:f>
        <x:v>appointment_booking</x:v>
      </x:c>
    </x:row>
    <x:row r="116" ht="18" customHeight="1">
      <x:c r="A116" s="66" t="str">
        <x:f>Synthetic_Data!B116</x:f>
        <x:v>P0115</x:v>
      </x:c>
      <x:c r="B116" s="153" t="n">
        <x:f>Synthetic_Data!A116</x:f>
        <x:v>46133</x:v>
      </x:c>
      <x:c r="C116" s="159" t="n">
        <x:f>Synthetic_Data!N116</x:f>
        <x:v>215</x:v>
      </x:c>
      <x:c r="D116" s="159" t="n">
        <x:f>Synthetic_Data!J116</x:f>
        <x:v>3.3</x:v>
      </x:c>
      <x:c r="E116" s="159" t="n">
        <x:f>Synthetic_Data!G116</x:f>
        <x:v>5</x:v>
      </x:c>
      <x:c r="F116" s="68" t="str">
        <x:f>Synthetic_Data!F116</x:f>
        <x:v>appointment_booking</x:v>
      </x:c>
    </x:row>
    <x:row r="117" ht="18" customHeight="1">
      <x:c r="A117" s="66" t="str">
        <x:f>Synthetic_Data!B117</x:f>
        <x:v>P0116</x:v>
      </x:c>
      <x:c r="B117" s="153" t="n">
        <x:f>Synthetic_Data!A117</x:f>
        <x:v>46133</x:v>
      </x:c>
      <x:c r="C117" s="159" t="n">
        <x:f>Synthetic_Data!N117</x:f>
        <x:v>217.3</x:v>
      </x:c>
      <x:c r="D117" s="159" t="n">
        <x:f>Synthetic_Data!J117</x:f>
        <x:v>2.4</x:v>
      </x:c>
      <x:c r="E117" s="159" t="n">
        <x:f>Synthetic_Data!G117</x:f>
        <x:v>1.7</x:v>
      </x:c>
      <x:c r="F117" s="68" t="str">
        <x:f>Synthetic_Data!F117</x:f>
        <x:v>inquiry</x:v>
      </x:c>
    </x:row>
    <x:row r="118" ht="18" customHeight="1">
      <x:c r="A118" s="66" t="str">
        <x:f>Synthetic_Data!B118</x:f>
        <x:v>P0117</x:v>
      </x:c>
      <x:c r="B118" s="153" t="n">
        <x:f>Synthetic_Data!A118</x:f>
        <x:v>46133</x:v>
      </x:c>
      <x:c r="C118" s="159" t="n">
        <x:f>Synthetic_Data!N118</x:f>
        <x:v>226.3</x:v>
      </x:c>
      <x:c r="D118" s="159" t="n">
        <x:f>Synthetic_Data!J118</x:f>
        <x:v>9</x:v>
      </x:c>
      <x:c r="E118" s="159" t="n">
        <x:f>Synthetic_Data!G118</x:f>
        <x:v>4.1</x:v>
      </x:c>
      <x:c r="F118" s="68" t="str">
        <x:f>Synthetic_Data!F118</x:f>
        <x:v>billing_payment</x:v>
      </x:c>
    </x:row>
    <x:row r="119" ht="18" customHeight="1">
      <x:c r="A119" s="66" t="str">
        <x:f>Synthetic_Data!B119</x:f>
        <x:v>P0118</x:v>
      </x:c>
      <x:c r="B119" s="153" t="n">
        <x:f>Synthetic_Data!A119</x:f>
        <x:v>46133</x:v>
      </x:c>
      <x:c r="C119" s="159" t="n">
        <x:f>Synthetic_Data!N119</x:f>
        <x:v>250.6</x:v>
      </x:c>
      <x:c r="D119" s="159" t="n">
        <x:f>Synthetic_Data!J119</x:f>
        <x:v>24.2</x:v>
      </x:c>
      <x:c r="E119" s="159" t="n">
        <x:f>Synthetic_Data!G119</x:f>
        <x:v>3</x:v>
      </x:c>
      <x:c r="F119" s="68" t="str">
        <x:f>Synthetic_Data!F119</x:f>
        <x:v>appointment_booking</x:v>
      </x:c>
    </x:row>
    <x:row r="120" ht="18" customHeight="1">
      <x:c r="A120" s="66" t="str">
        <x:f>Synthetic_Data!B120</x:f>
        <x:v>P0119</x:v>
      </x:c>
      <x:c r="B120" s="153" t="n">
        <x:f>Synthetic_Data!A120</x:f>
        <x:v>46133</x:v>
      </x:c>
      <x:c r="C120" s="159" t="n">
        <x:f>Synthetic_Data!N120</x:f>
        <x:v>262.7</x:v>
      </x:c>
      <x:c r="D120" s="159" t="n">
        <x:f>Synthetic_Data!J120</x:f>
        <x:v>12.2</x:v>
      </x:c>
      <x:c r="E120" s="159" t="n">
        <x:f>Synthetic_Data!G120</x:f>
        <x:v>1.8</x:v>
      </x:c>
      <x:c r="F120" s="68" t="str">
        <x:f>Synthetic_Data!F120</x:f>
        <x:v>report_collection</x:v>
      </x:c>
    </x:row>
    <x:row r="121" ht="18" customHeight="1">
      <x:c r="A121" s="66" t="str">
        <x:f>Synthetic_Data!B121</x:f>
        <x:v>P0120</x:v>
      </x:c>
      <x:c r="B121" s="153" t="n">
        <x:f>Synthetic_Data!A121</x:f>
        <x:v>46133</x:v>
      </x:c>
      <x:c r="C121" s="159" t="n">
        <x:f>Synthetic_Data!N121</x:f>
        <x:v>276.2</x:v>
      </x:c>
      <x:c r="D121" s="159" t="n">
        <x:f>Synthetic_Data!J121</x:f>
        <x:v>13.5</x:v>
      </x:c>
      <x:c r="E121" s="159" t="n">
        <x:f>Synthetic_Data!G121</x:f>
        <x:v>3.8</x:v>
      </x:c>
      <x:c r="F121" s="68" t="str">
        <x:f>Synthetic_Data!F121</x:f>
        <x:v>sample_submission</x:v>
      </x:c>
    </x:row>
    <x:row r="122" ht="18" customHeight="1">
      <x:c r="A122" s="66" t="str">
        <x:f>Synthetic_Data!B122</x:f>
        <x:v>P0121</x:v>
      </x:c>
      <x:c r="B122" s="153" t="n">
        <x:f>Synthetic_Data!A122</x:f>
        <x:v>46133</x:v>
      </x:c>
      <x:c r="C122" s="159" t="n">
        <x:f>Synthetic_Data!N122</x:f>
        <x:v>295.8</x:v>
      </x:c>
      <x:c r="D122" s="159" t="n">
        <x:f>Synthetic_Data!J122</x:f>
        <x:v>19.6</x:v>
      </x:c>
      <x:c r="E122" s="159" t="n">
        <x:f>Synthetic_Data!G122</x:f>
        <x:v>1.3</x:v>
      </x:c>
      <x:c r="F122" s="68" t="str">
        <x:f>Synthetic_Data!F122</x:f>
        <x:v>inquiry</x:v>
      </x:c>
    </x:row>
    <x:row r="123" ht="18" customHeight="1">
      <x:c r="A123" s="66" t="str">
        <x:f>Synthetic_Data!B123</x:f>
        <x:v>P0122</x:v>
      </x:c>
      <x:c r="B123" s="153" t="n">
        <x:f>Synthetic_Data!A123</x:f>
        <x:v>46133</x:v>
      </x:c>
      <x:c r="C123" s="159" t="n">
        <x:f>Synthetic_Data!N123</x:f>
        <x:v>307.2</x:v>
      </x:c>
      <x:c r="D123" s="159" t="n">
        <x:f>Synthetic_Data!J123</x:f>
        <x:v>11.4</x:v>
      </x:c>
      <x:c r="E123" s="159" t="n">
        <x:f>Synthetic_Data!G123</x:f>
        <x:v>2.9</x:v>
      </x:c>
      <x:c r="F123" s="68" t="str">
        <x:f>Synthetic_Data!F123</x:f>
        <x:v>billing_payment</x:v>
      </x:c>
    </x:row>
    <x:row r="124" ht="18" customHeight="1">
      <x:c r="A124" s="66" t="str">
        <x:f>Synthetic_Data!B124</x:f>
        <x:v>P0123</x:v>
      </x:c>
      <x:c r="B124" s="153" t="n">
        <x:f>Synthetic_Data!A124</x:f>
        <x:v>46133</x:v>
      </x:c>
      <x:c r="C124" s="159" t="n">
        <x:f>Synthetic_Data!N124</x:f>
        <x:v>319</x:v>
      </x:c>
      <x:c r="D124" s="159" t="n">
        <x:f>Synthetic_Data!J124</x:f>
        <x:v>11.8</x:v>
      </x:c>
      <x:c r="E124" s="159" t="n">
        <x:f>Synthetic_Data!G124</x:f>
        <x:v>3.3</x:v>
      </x:c>
      <x:c r="F124" s="68" t="str">
        <x:f>Synthetic_Data!F124</x:f>
        <x:v>report_collection</x:v>
      </x:c>
    </x:row>
    <x:row r="125" ht="18" customHeight="1">
      <x:c r="A125" s="66" t="str">
        <x:f>Synthetic_Data!B125</x:f>
        <x:v>P0124</x:v>
      </x:c>
      <x:c r="B125" s="153" t="n">
        <x:f>Synthetic_Data!A125</x:f>
        <x:v>46133</x:v>
      </x:c>
      <x:c r="C125" s="159" t="n">
        <x:f>Synthetic_Data!N125</x:f>
        <x:v>321.2</x:v>
      </x:c>
      <x:c r="D125" s="159" t="n">
        <x:f>Synthetic_Data!J125</x:f>
        <x:v>2.2</x:v>
      </x:c>
      <x:c r="E125" s="159" t="n">
        <x:f>Synthetic_Data!G125</x:f>
        <x:v>4.9</x:v>
      </x:c>
      <x:c r="F125" s="68" t="str">
        <x:f>Synthetic_Data!F125</x:f>
        <x:v>registration</x:v>
      </x:c>
    </x:row>
    <x:row r="126" ht="18" customHeight="1">
      <x:c r="A126" s="66" t="str">
        <x:f>Synthetic_Data!B126</x:f>
        <x:v>P0125</x:v>
      </x:c>
      <x:c r="B126" s="153" t="n">
        <x:f>Synthetic_Data!A126</x:f>
        <x:v>46133</x:v>
      </x:c>
      <x:c r="C126" s="159" t="n">
        <x:f>Synthetic_Data!N126</x:f>
        <x:v>321.4</x:v>
      </x:c>
      <x:c r="D126" s="159" t="n">
        <x:f>Synthetic_Data!J126</x:f>
        <x:v>0.2</x:v>
      </x:c>
      <x:c r="E126" s="159" t="n">
        <x:f>Synthetic_Data!G126</x:f>
        <x:v>3.9</x:v>
      </x:c>
      <x:c r="F126" s="68" t="str">
        <x:f>Synthetic_Data!F126</x:f>
        <x:v>registration</x:v>
      </x:c>
    </x:row>
    <x:row r="127" ht="18" customHeight="1">
      <x:c r="A127" s="66" t="str">
        <x:f>Synthetic_Data!B127</x:f>
        <x:v>P0126</x:v>
      </x:c>
      <x:c r="B127" s="153" t="n">
        <x:f>Synthetic_Data!A127</x:f>
        <x:v>46133</x:v>
      </x:c>
      <x:c r="C127" s="159" t="n">
        <x:f>Synthetic_Data!N127</x:f>
        <x:v>321.6</x:v>
      </x:c>
      <x:c r="D127" s="159" t="n">
        <x:f>Synthetic_Data!J127</x:f>
        <x:v>0.2</x:v>
      </x:c>
      <x:c r="E127" s="159" t="n">
        <x:f>Synthetic_Data!G127</x:f>
        <x:v>4.3</x:v>
      </x:c>
      <x:c r="F127" s="68" t="str">
        <x:f>Synthetic_Data!F127</x:f>
        <x:v>registration</x:v>
      </x:c>
    </x:row>
    <x:row r="128" ht="18" customHeight="1">
      <x:c r="A128" s="66" t="str">
        <x:f>Synthetic_Data!B128</x:f>
        <x:v>P0127</x:v>
      </x:c>
      <x:c r="B128" s="153" t="n">
        <x:f>Synthetic_Data!A128</x:f>
        <x:v>46133</x:v>
      </x:c>
      <x:c r="C128" s="159" t="n">
        <x:f>Synthetic_Data!N128</x:f>
        <x:v>327.5</x:v>
      </x:c>
      <x:c r="D128" s="159" t="n">
        <x:f>Synthetic_Data!J128</x:f>
        <x:v>5.9</x:v>
      </x:c>
      <x:c r="E128" s="159" t="n">
        <x:f>Synthetic_Data!G128</x:f>
        <x:v>2.9</x:v>
      </x:c>
      <x:c r="F128" s="68" t="str">
        <x:f>Synthetic_Data!F128</x:f>
        <x:v>report_collection</x:v>
      </x:c>
    </x:row>
    <x:row r="129" ht="18" customHeight="1">
      <x:c r="A129" s="66" t="str">
        <x:f>Synthetic_Data!B129</x:f>
        <x:v>P0128</x:v>
      </x:c>
      <x:c r="B129" s="153" t="n">
        <x:f>Synthetic_Data!A129</x:f>
        <x:v>46133</x:v>
      </x:c>
      <x:c r="C129" s="159" t="n">
        <x:f>Synthetic_Data!N129</x:f>
        <x:v>332.7</x:v>
      </x:c>
      <x:c r="D129" s="159" t="n">
        <x:f>Synthetic_Data!J129</x:f>
        <x:v>5.2</x:v>
      </x:c>
      <x:c r="E129" s="159" t="n">
        <x:f>Synthetic_Data!G129</x:f>
        <x:v>5.3</x:v>
      </x:c>
      <x:c r="F129" s="68" t="str">
        <x:f>Synthetic_Data!F129</x:f>
        <x:v>sample_submission</x:v>
      </x:c>
    </x:row>
    <x:row r="130" ht="18" customHeight="1">
      <x:c r="A130" s="66" t="str">
        <x:f>Synthetic_Data!B130</x:f>
        <x:v>P0129</x:v>
      </x:c>
      <x:c r="B130" s="153" t="n">
        <x:f>Synthetic_Data!A130</x:f>
        <x:v>46133</x:v>
      </x:c>
      <x:c r="C130" s="159" t="n">
        <x:f>Synthetic_Data!N130</x:f>
        <x:v>335.3</x:v>
      </x:c>
      <x:c r="D130" s="159" t="n">
        <x:f>Synthetic_Data!J130</x:f>
        <x:v>2.7</x:v>
      </x:c>
      <x:c r="E130" s="159" t="n">
        <x:f>Synthetic_Data!G130</x:f>
        <x:v>4.2</x:v>
      </x:c>
      <x:c r="F130" s="68" t="str">
        <x:f>Synthetic_Data!F130</x:f>
        <x:v>sample_submission</x:v>
      </x:c>
    </x:row>
    <x:row r="131" ht="18" customHeight="1">
      <x:c r="A131" s="66" t="str">
        <x:f>Synthetic_Data!B131</x:f>
        <x:v>P0130</x:v>
      </x:c>
      <x:c r="B131" s="153" t="n">
        <x:f>Synthetic_Data!A131</x:f>
        <x:v>46133</x:v>
      </x:c>
      <x:c r="C131" s="159" t="n">
        <x:f>Synthetic_Data!N131</x:f>
        <x:v>339.4</x:v>
      </x:c>
      <x:c r="D131" s="159" t="n">
        <x:f>Synthetic_Data!J131</x:f>
        <x:v>4.1</x:v>
      </x:c>
      <x:c r="E131" s="159" t="n">
        <x:f>Synthetic_Data!G131</x:f>
        <x:v>3.1</x:v>
      </x:c>
      <x:c r="F131" s="68" t="str">
        <x:f>Synthetic_Data!F131</x:f>
        <x:v>registration</x:v>
      </x:c>
    </x:row>
    <x:row r="132" ht="18" customHeight="1">
      <x:c r="A132" s="66" t="str">
        <x:f>Synthetic_Data!B132</x:f>
        <x:v>P0131</x:v>
      </x:c>
      <x:c r="B132" s="153" t="n">
        <x:f>Synthetic_Data!A132</x:f>
        <x:v>46133</x:v>
      </x:c>
      <x:c r="C132" s="159" t="n">
        <x:f>Synthetic_Data!N132</x:f>
        <x:v>340.6</x:v>
      </x:c>
      <x:c r="D132" s="159" t="n">
        <x:f>Synthetic_Data!J132</x:f>
        <x:v>1.1</x:v>
      </x:c>
      <x:c r="E132" s="159" t="n">
        <x:f>Synthetic_Data!G132</x:f>
        <x:v>3.7</x:v>
      </x:c>
      <x:c r="F132" s="68" t="str">
        <x:f>Synthetic_Data!F132</x:f>
        <x:v>sample_submission</x:v>
      </x:c>
    </x:row>
    <x:row r="133" ht="18" customHeight="1">
      <x:c r="A133" s="66" t="str">
        <x:f>Synthetic_Data!B133</x:f>
        <x:v>P0132</x:v>
      </x:c>
      <x:c r="B133" s="153" t="n">
        <x:f>Synthetic_Data!A133</x:f>
        <x:v>46133</x:v>
      </x:c>
      <x:c r="C133" s="159" t="n">
        <x:f>Synthetic_Data!N133</x:f>
        <x:v>344</x:v>
      </x:c>
      <x:c r="D133" s="159" t="n">
        <x:f>Synthetic_Data!J133</x:f>
        <x:v>3.4</x:v>
      </x:c>
      <x:c r="E133" s="159" t="n">
        <x:f>Synthetic_Data!G133</x:f>
        <x:v>4.6</x:v>
      </x:c>
      <x:c r="F133" s="68" t="str">
        <x:f>Synthetic_Data!F133</x:f>
        <x:v>sample_submission</x:v>
      </x:c>
    </x:row>
    <x:row r="134" ht="18" customHeight="1">
      <x:c r="A134" s="66" t="str">
        <x:f>Synthetic_Data!B134</x:f>
        <x:v>P0133</x:v>
      </x:c>
      <x:c r="B134" s="153" t="n">
        <x:f>Synthetic_Data!A134</x:f>
        <x:v>46133</x:v>
      </x:c>
      <x:c r="C134" s="159" t="n">
        <x:f>Synthetic_Data!N134</x:f>
        <x:v>345.2</x:v>
      </x:c>
      <x:c r="D134" s="159" t="n">
        <x:f>Synthetic_Data!J134</x:f>
        <x:v>1.3</x:v>
      </x:c>
      <x:c r="E134" s="159" t="n">
        <x:f>Synthetic_Data!G134</x:f>
        <x:v>3.6</x:v>
      </x:c>
      <x:c r="F134" s="68" t="str">
        <x:f>Synthetic_Data!F134</x:f>
        <x:v>billing_payment</x:v>
      </x:c>
    </x:row>
    <x:row r="135" ht="18" customHeight="1">
      <x:c r="A135" s="66" t="str">
        <x:f>Synthetic_Data!B135</x:f>
        <x:v>P0134</x:v>
      </x:c>
      <x:c r="B135" s="153" t="n">
        <x:f>Synthetic_Data!A135</x:f>
        <x:v>46133</x:v>
      </x:c>
      <x:c r="C135" s="159" t="n">
        <x:f>Synthetic_Data!N135</x:f>
        <x:v>348.1</x:v>
      </x:c>
      <x:c r="D135" s="159" t="n">
        <x:f>Synthetic_Data!J135</x:f>
        <x:v>2.9</x:v>
      </x:c>
      <x:c r="E135" s="159" t="n">
        <x:f>Synthetic_Data!G135</x:f>
        <x:v>4.9</x:v>
      </x:c>
      <x:c r="F135" s="68" t="str">
        <x:f>Synthetic_Data!F135</x:f>
        <x:v>sample_submission</x:v>
      </x:c>
    </x:row>
    <x:row r="136" ht="18" customHeight="1">
      <x:c r="A136" s="66" t="str">
        <x:f>Synthetic_Data!B136</x:f>
        <x:v>P0135</x:v>
      </x:c>
      <x:c r="B136" s="153" t="n">
        <x:f>Synthetic_Data!A136</x:f>
        <x:v>46133</x:v>
      </x:c>
      <x:c r="C136" s="159" t="n">
        <x:f>Synthetic_Data!N136</x:f>
        <x:v>349.8</x:v>
      </x:c>
      <x:c r="D136" s="159" t="n">
        <x:f>Synthetic_Data!J136</x:f>
        <x:v>1.7</x:v>
      </x:c>
      <x:c r="E136" s="159" t="n">
        <x:f>Synthetic_Data!G136</x:f>
        <x:v>2.6</x:v>
      </x:c>
      <x:c r="F136" s="68" t="str">
        <x:f>Synthetic_Data!F136</x:f>
        <x:v>billing_payment</x:v>
      </x:c>
    </x:row>
    <x:row r="137" ht="18" customHeight="1">
      <x:c r="A137" s="66" t="str">
        <x:f>Synthetic_Data!B137</x:f>
        <x:v>P0136</x:v>
      </x:c>
      <x:c r="B137" s="153" t="n">
        <x:f>Synthetic_Data!A137</x:f>
        <x:v>46133</x:v>
      </x:c>
      <x:c r="C137" s="159" t="n">
        <x:f>Synthetic_Data!N137</x:f>
        <x:v>350.2</x:v>
      </x:c>
      <x:c r="D137" s="159" t="n">
        <x:f>Synthetic_Data!J137</x:f>
        <x:v>0.4</x:v>
      </x:c>
      <x:c r="E137" s="159" t="n">
        <x:f>Synthetic_Data!G137</x:f>
        <x:v>5.1</x:v>
      </x:c>
      <x:c r="F137" s="68" t="str">
        <x:f>Synthetic_Data!F137</x:f>
        <x:v>registration</x:v>
      </x:c>
    </x:row>
    <x:row r="138" ht="18" customHeight="1">
      <x:c r="A138" s="66" t="str">
        <x:f>Synthetic_Data!B138</x:f>
        <x:v>P0137</x:v>
      </x:c>
      <x:c r="B138" s="153" t="n">
        <x:f>Synthetic_Data!A138</x:f>
        <x:v>46133</x:v>
      </x:c>
      <x:c r="C138" s="159" t="n">
        <x:f>Synthetic_Data!N138</x:f>
        <x:v>353.9</x:v>
      </x:c>
      <x:c r="D138" s="159" t="n">
        <x:f>Synthetic_Data!J138</x:f>
        <x:v>3.7</x:v>
      </x:c>
      <x:c r="E138" s="159" t="n">
        <x:f>Synthetic_Data!G138</x:f>
        <x:v>3.8</x:v>
      </x:c>
      <x:c r="F138" s="68" t="str">
        <x:f>Synthetic_Data!F138</x:f>
        <x:v>registration</x:v>
      </x:c>
    </x:row>
    <x:row r="139" ht="18" customHeight="1">
      <x:c r="A139" s="66" t="str">
        <x:f>Synthetic_Data!B139</x:f>
        <x:v>P0138</x:v>
      </x:c>
      <x:c r="B139" s="153" t="n">
        <x:f>Synthetic_Data!A139</x:f>
        <x:v>46133</x:v>
      </x:c>
      <x:c r="C139" s="159" t="n">
        <x:f>Synthetic_Data!N139</x:f>
        <x:v>358.2</x:v>
      </x:c>
      <x:c r="D139" s="159" t="n">
        <x:f>Synthetic_Data!J139</x:f>
        <x:v>4.3</x:v>
      </x:c>
      <x:c r="E139" s="159" t="n">
        <x:f>Synthetic_Data!G139</x:f>
        <x:v>2</x:v>
      </x:c>
      <x:c r="F139" s="68" t="str">
        <x:f>Synthetic_Data!F139</x:f>
        <x:v>report_collection</x:v>
      </x:c>
    </x:row>
    <x:row r="140" ht="18" customHeight="1">
      <x:c r="A140" s="66" t="str">
        <x:f>Synthetic_Data!B140</x:f>
        <x:v>P0139</x:v>
      </x:c>
      <x:c r="B140" s="153" t="n">
        <x:f>Synthetic_Data!A140</x:f>
        <x:v>46133</x:v>
      </x:c>
      <x:c r="C140" s="159" t="n">
        <x:f>Synthetic_Data!N140</x:f>
        <x:v>359.6</x:v>
      </x:c>
      <x:c r="D140" s="159" t="n">
        <x:f>Synthetic_Data!J140</x:f>
        <x:v>1.3</x:v>
      </x:c>
      <x:c r="E140" s="159" t="n">
        <x:f>Synthetic_Data!G140</x:f>
        <x:v>5.8</x:v>
      </x:c>
      <x:c r="F140" s="68" t="str">
        <x:f>Synthetic_Data!F140</x:f>
        <x:v>sample_submission</x:v>
      </x:c>
    </x:row>
    <x:row r="141" ht="18" customHeight="1">
      <x:c r="A141" s="66" t="str">
        <x:f>Synthetic_Data!B141</x:f>
        <x:v>P0140</x:v>
      </x:c>
      <x:c r="B141" s="153" t="n">
        <x:f>Synthetic_Data!A141</x:f>
        <x:v>46133</x:v>
      </x:c>
      <x:c r="C141" s="159" t="n">
        <x:f>Synthetic_Data!N141</x:f>
        <x:v>361.2</x:v>
      </x:c>
      <x:c r="D141" s="159" t="n">
        <x:f>Synthetic_Data!J141</x:f>
        <x:v>1.6</x:v>
      </x:c>
      <x:c r="E141" s="159" t="n">
        <x:f>Synthetic_Data!G141</x:f>
        <x:v>5.1</x:v>
      </x:c>
      <x:c r="F141" s="68" t="str">
        <x:f>Synthetic_Data!F141</x:f>
        <x:v>registration</x:v>
      </x:c>
    </x:row>
    <x:row r="142" ht="18" customHeight="1">
      <x:c r="A142" s="66" t="str">
        <x:f>Synthetic_Data!B142</x:f>
        <x:v>P0141</x:v>
      </x:c>
      <x:c r="B142" s="153" t="n">
        <x:f>Synthetic_Data!A142</x:f>
        <x:v>46133</x:v>
      </x:c>
      <x:c r="C142" s="159" t="n">
        <x:f>Synthetic_Data!N142</x:f>
        <x:v>362</x:v>
      </x:c>
      <x:c r="D142" s="159" t="n">
        <x:f>Synthetic_Data!J142</x:f>
        <x:v>0.8</x:v>
      </x:c>
      <x:c r="E142" s="159" t="n">
        <x:f>Synthetic_Data!G142</x:f>
        <x:v>5.5</x:v>
      </x:c>
      <x:c r="F142" s="68" t="str">
        <x:f>Synthetic_Data!F142</x:f>
        <x:v>registration</x:v>
      </x:c>
    </x:row>
    <x:row r="143" ht="18" customHeight="1">
      <x:c r="A143" s="66" t="str">
        <x:f>Synthetic_Data!B143</x:f>
        <x:v>P0142</x:v>
      </x:c>
      <x:c r="B143" s="153" t="n">
        <x:f>Synthetic_Data!A143</x:f>
        <x:v>46133</x:v>
      </x:c>
      <x:c r="C143" s="159" t="n">
        <x:f>Synthetic_Data!N143</x:f>
        <x:v>363.1</x:v>
      </x:c>
      <x:c r="D143" s="159" t="n">
        <x:f>Synthetic_Data!J143</x:f>
        <x:v>1.2</x:v>
      </x:c>
      <x:c r="E143" s="159" t="n">
        <x:f>Synthetic_Data!G143</x:f>
        <x:v>1.4</x:v>
      </x:c>
      <x:c r="F143" s="68" t="str">
        <x:f>Synthetic_Data!F143</x:f>
        <x:v>inquiry</x:v>
      </x:c>
    </x:row>
    <x:row r="144" ht="18" customHeight="1">
      <x:c r="A144" s="66" t="str">
        <x:f>Synthetic_Data!B144</x:f>
        <x:v>P0143</x:v>
      </x:c>
      <x:c r="B144" s="153" t="n">
        <x:f>Synthetic_Data!A144</x:f>
        <x:v>46133</x:v>
      </x:c>
      <x:c r="C144" s="159" t="n">
        <x:f>Synthetic_Data!N144</x:f>
        <x:v>365.6</x:v>
      </x:c>
      <x:c r="D144" s="159" t="n">
        <x:f>Synthetic_Data!J144</x:f>
        <x:v>2.5</x:v>
      </x:c>
      <x:c r="E144" s="159" t="n">
        <x:f>Synthetic_Data!G144</x:f>
        <x:v>6.1</x:v>
      </x:c>
      <x:c r="F144" s="68" t="str">
        <x:f>Synthetic_Data!F144</x:f>
        <x:v>sample_submission</x:v>
      </x:c>
    </x:row>
    <x:row r="145" ht="18" customHeight="1">
      <x:c r="A145" s="66" t="str">
        <x:f>Synthetic_Data!B145</x:f>
        <x:v>P0144</x:v>
      </x:c>
      <x:c r="B145" s="153" t="n">
        <x:f>Synthetic_Data!A145</x:f>
        <x:v>46133</x:v>
      </x:c>
      <x:c r="C145" s="159" t="n">
        <x:f>Synthetic_Data!N145</x:f>
        <x:v>365.9</x:v>
      </x:c>
      <x:c r="D145" s="159" t="n">
        <x:f>Synthetic_Data!J145</x:f>
        <x:v>0.3</x:v>
      </x:c>
      <x:c r="E145" s="159" t="n">
        <x:f>Synthetic_Data!G145</x:f>
        <x:v>4.6</x:v>
      </x:c>
      <x:c r="F145" s="68" t="str">
        <x:f>Synthetic_Data!F145</x:f>
        <x:v>sample_submission</x:v>
      </x:c>
    </x:row>
    <x:row r="146" ht="18" customHeight="1">
      <x:c r="A146" s="66" t="str">
        <x:f>Synthetic_Data!B146</x:f>
        <x:v>P0145</x:v>
      </x:c>
      <x:c r="B146" s="153" t="n">
        <x:f>Synthetic_Data!A146</x:f>
        <x:v>46133</x:v>
      </x:c>
      <x:c r="C146" s="159" t="n">
        <x:f>Synthetic_Data!N146</x:f>
        <x:v>381.1</x:v>
      </x:c>
      <x:c r="D146" s="159" t="n">
        <x:f>Synthetic_Data!J146</x:f>
        <x:v>15.3</x:v>
      </x:c>
      <x:c r="E146" s="159" t="n">
        <x:f>Synthetic_Data!G146</x:f>
        <x:v>6.2</x:v>
      </x:c>
      <x:c r="F146" s="68" t="str">
        <x:f>Synthetic_Data!F146</x:f>
        <x:v>sample_submission</x:v>
      </x:c>
    </x:row>
    <x:row r="147" ht="18" customHeight="1">
      <x:c r="A147" s="66" t="str">
        <x:f>Synthetic_Data!B147</x:f>
        <x:v>P0146</x:v>
      </x:c>
      <x:c r="B147" s="153" t="n">
        <x:f>Synthetic_Data!A147</x:f>
        <x:v>46133</x:v>
      </x:c>
      <x:c r="C147" s="159" t="n">
        <x:f>Synthetic_Data!N147</x:f>
        <x:v>391</x:v>
      </x:c>
      <x:c r="D147" s="159" t="n">
        <x:f>Synthetic_Data!J147</x:f>
        <x:v>9.9</x:v>
      </x:c>
      <x:c r="E147" s="159" t="n">
        <x:f>Synthetic_Data!G147</x:f>
        <x:v>1.7</x:v>
      </x:c>
      <x:c r="F147" s="68" t="str">
        <x:f>Synthetic_Data!F147</x:f>
        <x:v>report_collection</x:v>
      </x:c>
    </x:row>
    <x:row r="148" ht="18" customHeight="1">
      <x:c r="A148" s="66" t="str">
        <x:f>Synthetic_Data!B148</x:f>
        <x:v>P0147</x:v>
      </x:c>
      <x:c r="B148" s="153" t="n">
        <x:f>Synthetic_Data!A148</x:f>
        <x:v>46133</x:v>
      </x:c>
      <x:c r="C148" s="159" t="n">
        <x:f>Synthetic_Data!N148</x:f>
        <x:v>397.7</x:v>
      </x:c>
      <x:c r="D148" s="159" t="n">
        <x:f>Synthetic_Data!J148</x:f>
        <x:v>6.7</x:v>
      </x:c>
      <x:c r="E148" s="159" t="n">
        <x:f>Synthetic_Data!G148</x:f>
        <x:v>3.7</x:v>
      </x:c>
      <x:c r="F148" s="68" t="str">
        <x:f>Synthetic_Data!F148</x:f>
        <x:v>report_collection</x:v>
      </x:c>
    </x:row>
    <x:row r="149" ht="18" customHeight="1">
      <x:c r="A149" s="66" t="str">
        <x:f>Synthetic_Data!B149</x:f>
        <x:v>P0148</x:v>
      </x:c>
      <x:c r="B149" s="153" t="n">
        <x:f>Synthetic_Data!A149</x:f>
        <x:v>46133</x:v>
      </x:c>
      <x:c r="C149" s="159" t="n">
        <x:f>Synthetic_Data!N149</x:f>
        <x:v>401.4</x:v>
      </x:c>
      <x:c r="D149" s="159" t="n">
        <x:f>Synthetic_Data!J149</x:f>
        <x:v>3.6</x:v>
      </x:c>
      <x:c r="E149" s="159" t="n">
        <x:f>Synthetic_Data!G149</x:f>
        <x:v>5.4</x:v>
      </x:c>
      <x:c r="F149" s="68" t="str">
        <x:f>Synthetic_Data!F149</x:f>
        <x:v>registration</x:v>
      </x:c>
    </x:row>
    <x:row r="150" ht="18" customHeight="1">
      <x:c r="A150" s="66" t="str">
        <x:f>Synthetic_Data!B150</x:f>
        <x:v>P0149</x:v>
      </x:c>
      <x:c r="B150" s="153" t="n">
        <x:f>Synthetic_Data!A150</x:f>
        <x:v>46133</x:v>
      </x:c>
      <x:c r="C150" s="159" t="n">
        <x:f>Synthetic_Data!N150</x:f>
        <x:v>403.5</x:v>
      </x:c>
      <x:c r="D150" s="159" t="n">
        <x:f>Synthetic_Data!J150</x:f>
        <x:v>2.1</x:v>
      </x:c>
      <x:c r="E150" s="159" t="n">
        <x:f>Synthetic_Data!G150</x:f>
        <x:v>1</x:v>
      </x:c>
      <x:c r="F150" s="68" t="str">
        <x:f>Synthetic_Data!F150</x:f>
        <x:v>report_collection</x:v>
      </x:c>
    </x:row>
    <x:row r="151" ht="18" customHeight="1">
      <x:c r="A151" s="66" t="str">
        <x:f>Synthetic_Data!B151</x:f>
        <x:v>P0150</x:v>
      </x:c>
      <x:c r="B151" s="153" t="n">
        <x:f>Synthetic_Data!A151</x:f>
        <x:v>46133</x:v>
      </x:c>
      <x:c r="C151" s="159" t="n">
        <x:f>Synthetic_Data!N151</x:f>
        <x:v>427.8</x:v>
      </x:c>
      <x:c r="D151" s="159" t="n">
        <x:f>Synthetic_Data!J151</x:f>
        <x:v>24.3</x:v>
      </x:c>
      <x:c r="E151" s="159" t="n">
        <x:f>Synthetic_Data!G151</x:f>
        <x:v>1.9</x:v>
      </x:c>
      <x:c r="F151" s="68" t="str">
        <x:f>Synthetic_Data!F151</x:f>
        <x:v>report_collection</x:v>
      </x:c>
    </x:row>
    <x:row r="152" ht="18" customHeight="1">
      <x:c r="A152" s="66" t="str">
        <x:f>Synthetic_Data!B152</x:f>
        <x:v>P0151</x:v>
      </x:c>
      <x:c r="B152" s="153" t="n">
        <x:f>Synthetic_Data!A152</x:f>
        <x:v>46133</x:v>
      </x:c>
      <x:c r="C152" s="159" t="n">
        <x:f>Synthetic_Data!N152</x:f>
        <x:v>439.5</x:v>
      </x:c>
      <x:c r="D152" s="159" t="n">
        <x:f>Synthetic_Data!J152</x:f>
        <x:v>11.6</x:v>
      </x:c>
      <x:c r="E152" s="159" t="n">
        <x:f>Synthetic_Data!G152</x:f>
        <x:v>4.5</x:v>
      </x:c>
      <x:c r="F152" s="68" t="str">
        <x:f>Synthetic_Data!F152</x:f>
        <x:v>report_collection</x:v>
      </x:c>
    </x:row>
    <x:row r="153" ht="18" customHeight="1">
      <x:c r="A153" s="66" t="str">
        <x:f>Synthetic_Data!B153</x:f>
        <x:v>P0152</x:v>
      </x:c>
      <x:c r="B153" s="153" t="n">
        <x:f>Synthetic_Data!A153</x:f>
        <x:v>46133</x:v>
      </x:c>
      <x:c r="C153" s="159" t="n">
        <x:f>Synthetic_Data!N153</x:f>
        <x:v>440.2</x:v>
      </x:c>
      <x:c r="D153" s="159" t="n">
        <x:f>Synthetic_Data!J153</x:f>
        <x:v>0.8</x:v>
      </x:c>
      <x:c r="E153" s="159" t="n">
        <x:f>Synthetic_Data!G153</x:f>
        <x:v>2.8</x:v>
      </x:c>
      <x:c r="F153" s="68" t="str">
        <x:f>Synthetic_Data!F153</x:f>
        <x:v>registration</x:v>
      </x:c>
    </x:row>
    <x:row r="154" ht="18" customHeight="1">
      <x:c r="A154" s="66" t="str">
        <x:f>Synthetic_Data!B154</x:f>
        <x:v>P0153</x:v>
      </x:c>
      <x:c r="B154" s="153" t="n">
        <x:f>Synthetic_Data!A154</x:f>
        <x:v>46133</x:v>
      </x:c>
      <x:c r="C154" s="159" t="n">
        <x:f>Synthetic_Data!N154</x:f>
        <x:v>441.2</x:v>
      </x:c>
      <x:c r="D154" s="159" t="n">
        <x:f>Synthetic_Data!J154</x:f>
        <x:v>1</x:v>
      </x:c>
      <x:c r="E154" s="159" t="n">
        <x:f>Synthetic_Data!G154</x:f>
        <x:v>4.3</x:v>
      </x:c>
      <x:c r="F154" s="68" t="str">
        <x:f>Synthetic_Data!F154</x:f>
        <x:v>registration</x:v>
      </x:c>
    </x:row>
    <x:row r="155" ht="18" customHeight="1">
      <x:c r="A155" s="66" t="str">
        <x:f>Synthetic_Data!B155</x:f>
        <x:v>P0154</x:v>
      </x:c>
      <x:c r="B155" s="153" t="n">
        <x:f>Synthetic_Data!A155</x:f>
        <x:v>46133</x:v>
      </x:c>
      <x:c r="C155" s="159" t="n">
        <x:f>Synthetic_Data!N155</x:f>
        <x:v>448.6</x:v>
      </x:c>
      <x:c r="D155" s="159" t="n">
        <x:f>Synthetic_Data!J155</x:f>
        <x:v>7.4</x:v>
      </x:c>
      <x:c r="E155" s="159" t="n">
        <x:f>Synthetic_Data!G155</x:f>
        <x:v>2.2</x:v>
      </x:c>
      <x:c r="F155" s="68" t="str">
        <x:f>Synthetic_Data!F155</x:f>
        <x:v>report_collection</x:v>
      </x:c>
    </x:row>
    <x:row r="156" ht="18" customHeight="1">
      <x:c r="A156" s="66" t="str">
        <x:f>Synthetic_Data!B156</x:f>
        <x:v>P0155</x:v>
      </x:c>
      <x:c r="B156" s="153" t="n">
        <x:f>Synthetic_Data!A156</x:f>
        <x:v>46133</x:v>
      </x:c>
      <x:c r="C156" s="159" t="n">
        <x:f>Synthetic_Data!N156</x:f>
        <x:v>451.6</x:v>
      </x:c>
      <x:c r="D156" s="159" t="n">
        <x:f>Synthetic_Data!J156</x:f>
        <x:v>3.1</x:v>
      </x:c>
      <x:c r="E156" s="159" t="n">
        <x:f>Synthetic_Data!G156</x:f>
        <x:v>6.2</x:v>
      </x:c>
      <x:c r="F156" s="68" t="str">
        <x:f>Synthetic_Data!F156</x:f>
        <x:v>sample_submission</x:v>
      </x:c>
    </x:row>
    <x:row r="157" ht="18" customHeight="1">
      <x:c r="A157" s="66" t="str">
        <x:f>Synthetic_Data!B157</x:f>
        <x:v>P0156</x:v>
      </x:c>
      <x:c r="B157" s="153" t="n">
        <x:f>Synthetic_Data!A157</x:f>
        <x:v>46133</x:v>
      </x:c>
      <x:c r="C157" s="159" t="n">
        <x:f>Synthetic_Data!N157</x:f>
        <x:v>458.4</x:v>
      </x:c>
      <x:c r="D157" s="159" t="n">
        <x:f>Synthetic_Data!J157</x:f>
        <x:v>6.8</x:v>
      </x:c>
      <x:c r="E157" s="159" t="n">
        <x:f>Synthetic_Data!G157</x:f>
        <x:v>3.2</x:v>
      </x:c>
      <x:c r="F157" s="68" t="str">
        <x:f>Synthetic_Data!F157</x:f>
        <x:v>registration</x:v>
      </x:c>
    </x:row>
    <x:row r="158" ht="18" customHeight="1">
      <x:c r="A158" s="66" t="str">
        <x:f>Synthetic_Data!B158</x:f>
        <x:v>P0157</x:v>
      </x:c>
      <x:c r="B158" s="153" t="n">
        <x:f>Synthetic_Data!A158</x:f>
        <x:v>46133</x:v>
      </x:c>
      <x:c r="C158" s="159" t="n">
        <x:f>Synthetic_Data!N158</x:f>
        <x:v>461.2</x:v>
      </x:c>
      <x:c r="D158" s="159" t="n">
        <x:f>Synthetic_Data!J158</x:f>
        <x:v>2.8</x:v>
      </x:c>
      <x:c r="E158" s="159" t="n">
        <x:f>Synthetic_Data!G158</x:f>
        <x:v>3.2</x:v>
      </x:c>
      <x:c r="F158" s="68" t="str">
        <x:f>Synthetic_Data!F158</x:f>
        <x:v>billing_payment</x:v>
      </x:c>
    </x:row>
    <x:row r="159" ht="18" customHeight="1">
      <x:c r="A159" s="66" t="str">
        <x:f>Synthetic_Data!B159</x:f>
        <x:v>P0158</x:v>
      </x:c>
      <x:c r="B159" s="153" t="n">
        <x:f>Synthetic_Data!A159</x:f>
        <x:v>46133</x:v>
      </x:c>
      <x:c r="C159" s="159" t="n">
        <x:f>Synthetic_Data!N159</x:f>
        <x:v>461.3</x:v>
      </x:c>
      <x:c r="D159" s="159" t="n">
        <x:f>Synthetic_Data!J159</x:f>
        <x:v>0.1</x:v>
      </x:c>
      <x:c r="E159" s="159" t="n">
        <x:f>Synthetic_Data!G159</x:f>
        <x:v>1.4</x:v>
      </x:c>
      <x:c r="F159" s="68" t="str">
        <x:f>Synthetic_Data!F159</x:f>
        <x:v>report_collection</x:v>
      </x:c>
    </x:row>
    <x:row r="160" ht="18" customHeight="1">
      <x:c r="A160" s="66" t="str">
        <x:f>Synthetic_Data!B160</x:f>
        <x:v>P0159</x:v>
      </x:c>
      <x:c r="B160" s="153" t="n">
        <x:f>Synthetic_Data!A160</x:f>
        <x:v>46133</x:v>
      </x:c>
      <x:c r="C160" s="159" t="n">
        <x:f>Synthetic_Data!N160</x:f>
        <x:v>467</x:v>
      </x:c>
      <x:c r="D160" s="159" t="n">
        <x:f>Synthetic_Data!J160</x:f>
        <x:v>5.7</x:v>
      </x:c>
      <x:c r="E160" s="159" t="n">
        <x:f>Synthetic_Data!G160</x:f>
        <x:v>5.2</x:v>
      </x:c>
      <x:c r="F160" s="68" t="str">
        <x:f>Synthetic_Data!F160</x:f>
        <x:v>billing_payment</x:v>
      </x:c>
    </x:row>
    <x:row r="161" ht="18" customHeight="1">
      <x:c r="A161" s="66" t="str">
        <x:f>Synthetic_Data!B161</x:f>
        <x:v>P0160</x:v>
      </x:c>
      <x:c r="B161" s="153" t="n">
        <x:f>Synthetic_Data!A161</x:f>
        <x:v>46134</x:v>
      </x:c>
      <x:c r="C161" s="159" t="n">
        <x:f>Synthetic_Data!N161</x:f>
        <x:v>18.2</x:v>
      </x:c>
      <x:c r="D161" s="159" t="n">
        <x:f>Synthetic_Data!J161</x:f>
        <x:v>0</x:v>
      </x:c>
      <x:c r="E161" s="159" t="n">
        <x:f>Synthetic_Data!G161</x:f>
        <x:v>5.4</x:v>
      </x:c>
      <x:c r="F161" s="68" t="str">
        <x:f>Synthetic_Data!F161</x:f>
        <x:v>registration</x:v>
      </x:c>
    </x:row>
    <x:row r="162" ht="18" customHeight="1">
      <x:c r="A162" s="66" t="str">
        <x:f>Synthetic_Data!B162</x:f>
        <x:v>P0161</x:v>
      </x:c>
      <x:c r="B162" s="153" t="n">
        <x:f>Synthetic_Data!A162</x:f>
        <x:v>46134</x:v>
      </x:c>
      <x:c r="C162" s="159" t="n">
        <x:f>Synthetic_Data!N162</x:f>
        <x:v>19.5</x:v>
      </x:c>
      <x:c r="D162" s="159" t="n">
        <x:f>Synthetic_Data!J162</x:f>
        <x:v>1.3</x:v>
      </x:c>
      <x:c r="E162" s="159" t="n">
        <x:f>Synthetic_Data!G162</x:f>
        <x:v>3.7</x:v>
      </x:c>
      <x:c r="F162" s="68" t="str">
        <x:f>Synthetic_Data!F162</x:f>
        <x:v>registration</x:v>
      </x:c>
    </x:row>
    <x:row r="163" ht="18" customHeight="1">
      <x:c r="A163" s="66" t="str">
        <x:f>Synthetic_Data!B163</x:f>
        <x:v>P0162</x:v>
      </x:c>
      <x:c r="B163" s="153" t="n">
        <x:f>Synthetic_Data!A163</x:f>
        <x:v>46134</x:v>
      </x:c>
      <x:c r="C163" s="159" t="n">
        <x:f>Synthetic_Data!N163</x:f>
        <x:v>23.5</x:v>
      </x:c>
      <x:c r="D163" s="159" t="n">
        <x:f>Synthetic_Data!J163</x:f>
        <x:v>4</x:v>
      </x:c>
      <x:c r="E163" s="159" t="n">
        <x:f>Synthetic_Data!G163</x:f>
        <x:v>8.2</x:v>
      </x:c>
      <x:c r="F163" s="68" t="str">
        <x:f>Synthetic_Data!F163</x:f>
        <x:v>sample_submission</x:v>
      </x:c>
    </x:row>
    <x:row r="164" ht="18" customHeight="1">
      <x:c r="A164" s="66" t="str">
        <x:f>Synthetic_Data!B164</x:f>
        <x:v>P0163</x:v>
      </x:c>
      <x:c r="B164" s="153" t="n">
        <x:f>Synthetic_Data!A164</x:f>
        <x:v>46134</x:v>
      </x:c>
      <x:c r="C164" s="159" t="n">
        <x:f>Synthetic_Data!N164</x:f>
        <x:v>27.8</x:v>
      </x:c>
      <x:c r="D164" s="159" t="n">
        <x:f>Synthetic_Data!J164</x:f>
        <x:v>4.3</x:v>
      </x:c>
      <x:c r="E164" s="159" t="n">
        <x:f>Synthetic_Data!G164</x:f>
        <x:v>2.9</x:v>
      </x:c>
      <x:c r="F164" s="68" t="str">
        <x:f>Synthetic_Data!F164</x:f>
        <x:v>registration</x:v>
      </x:c>
    </x:row>
    <x:row r="165" ht="18" customHeight="1">
      <x:c r="A165" s="66" t="str">
        <x:f>Synthetic_Data!B165</x:f>
        <x:v>P0164</x:v>
      </x:c>
      <x:c r="B165" s="153" t="n">
        <x:f>Synthetic_Data!A165</x:f>
        <x:v>46134</x:v>
      </x:c>
      <x:c r="C165" s="159" t="n">
        <x:f>Synthetic_Data!N165</x:f>
        <x:v>30.3</x:v>
      </x:c>
      <x:c r="D165" s="159" t="n">
        <x:f>Synthetic_Data!J165</x:f>
        <x:v>2.5</x:v>
      </x:c>
      <x:c r="E165" s="159" t="n">
        <x:f>Synthetic_Data!G165</x:f>
        <x:v>1.2</x:v>
      </x:c>
      <x:c r="F165" s="68" t="str">
        <x:f>Synthetic_Data!F165</x:f>
        <x:v>inquiry</x:v>
      </x:c>
    </x:row>
    <x:row r="166" ht="18" customHeight="1">
      <x:c r="A166" s="66" t="str">
        <x:f>Synthetic_Data!B166</x:f>
        <x:v>P0165</x:v>
      </x:c>
      <x:c r="B166" s="153" t="n">
        <x:f>Synthetic_Data!A166</x:f>
        <x:v>46134</x:v>
      </x:c>
      <x:c r="C166" s="159" t="n">
        <x:f>Synthetic_Data!N166</x:f>
        <x:v>30.3</x:v>
      </x:c>
      <x:c r="D166" s="159" t="n">
        <x:f>Synthetic_Data!J166</x:f>
        <x:v>0.1</x:v>
      </x:c>
      <x:c r="E166" s="159" t="n">
        <x:f>Synthetic_Data!G166</x:f>
        <x:v>2.9</x:v>
      </x:c>
      <x:c r="F166" s="68" t="str">
        <x:f>Synthetic_Data!F166</x:f>
        <x:v>registration</x:v>
      </x:c>
    </x:row>
    <x:row r="167" ht="18" customHeight="1">
      <x:c r="A167" s="66" t="str">
        <x:f>Synthetic_Data!B167</x:f>
        <x:v>P0166</x:v>
      </x:c>
      <x:c r="B167" s="153" t="n">
        <x:f>Synthetic_Data!A167</x:f>
        <x:v>46134</x:v>
      </x:c>
      <x:c r="C167" s="159" t="n">
        <x:f>Synthetic_Data!N167</x:f>
        <x:v>36.3</x:v>
      </x:c>
      <x:c r="D167" s="159" t="n">
        <x:f>Synthetic_Data!J167</x:f>
        <x:v>6</x:v>
      </x:c>
      <x:c r="E167" s="159" t="n">
        <x:f>Synthetic_Data!G167</x:f>
        <x:v>4.4</x:v>
      </x:c>
      <x:c r="F167" s="68" t="str">
        <x:f>Synthetic_Data!F167</x:f>
        <x:v>sample_submission</x:v>
      </x:c>
    </x:row>
    <x:row r="168" ht="18" customHeight="1">
      <x:c r="A168" s="66" t="str">
        <x:f>Synthetic_Data!B168</x:f>
        <x:v>P0167</x:v>
      </x:c>
      <x:c r="B168" s="153" t="n">
        <x:f>Synthetic_Data!A168</x:f>
        <x:v>46134</x:v>
      </x:c>
      <x:c r="C168" s="159" t="n">
        <x:f>Synthetic_Data!N168</x:f>
        <x:v>37</x:v>
      </x:c>
      <x:c r="D168" s="159" t="n">
        <x:f>Synthetic_Data!J168</x:f>
        <x:v>0.7</x:v>
      </x:c>
      <x:c r="E168" s="159" t="n">
        <x:f>Synthetic_Data!G168</x:f>
        <x:v>4.3</x:v>
      </x:c>
      <x:c r="F168" s="68" t="str">
        <x:f>Synthetic_Data!F168</x:f>
        <x:v>registration</x:v>
      </x:c>
    </x:row>
    <x:row r="169" ht="18" customHeight="1">
      <x:c r="A169" s="66" t="str">
        <x:f>Synthetic_Data!B169</x:f>
        <x:v>P0168</x:v>
      </x:c>
      <x:c r="B169" s="153" t="n">
        <x:f>Synthetic_Data!A169</x:f>
        <x:v>46134</x:v>
      </x:c>
      <x:c r="C169" s="159" t="n">
        <x:f>Synthetic_Data!N169</x:f>
        <x:v>37.9</x:v>
      </x:c>
      <x:c r="D169" s="159" t="n">
        <x:f>Synthetic_Data!J169</x:f>
        <x:v>1</x:v>
      </x:c>
      <x:c r="E169" s="159" t="n">
        <x:f>Synthetic_Data!G169</x:f>
        <x:v>1.7</x:v>
      </x:c>
      <x:c r="F169" s="68" t="str">
        <x:f>Synthetic_Data!F169</x:f>
        <x:v>billing_payment</x:v>
      </x:c>
    </x:row>
    <x:row r="170" ht="18" customHeight="1">
      <x:c r="A170" s="66" t="str">
        <x:f>Synthetic_Data!B170</x:f>
        <x:v>P0169</x:v>
      </x:c>
      <x:c r="B170" s="153" t="n">
        <x:f>Synthetic_Data!A170</x:f>
        <x:v>46134</x:v>
      </x:c>
      <x:c r="C170" s="159" t="n">
        <x:f>Synthetic_Data!N170</x:f>
        <x:v>38.6</x:v>
      </x:c>
      <x:c r="D170" s="159" t="n">
        <x:f>Synthetic_Data!J170</x:f>
        <x:v>0.7</x:v>
      </x:c>
      <x:c r="E170" s="159" t="n">
        <x:f>Synthetic_Data!G170</x:f>
        <x:v>4</x:v>
      </x:c>
      <x:c r="F170" s="68" t="str">
        <x:f>Synthetic_Data!F170</x:f>
        <x:v>registration</x:v>
      </x:c>
    </x:row>
    <x:row r="171" ht="18" customHeight="1">
      <x:c r="A171" s="66" t="str">
        <x:f>Synthetic_Data!B171</x:f>
        <x:v>P0170</x:v>
      </x:c>
      <x:c r="B171" s="153" t="n">
        <x:f>Synthetic_Data!A171</x:f>
        <x:v>46134</x:v>
      </x:c>
      <x:c r="C171" s="159" t="n">
        <x:f>Synthetic_Data!N171</x:f>
        <x:v>38.7</x:v>
      </x:c>
      <x:c r="D171" s="159" t="n">
        <x:f>Synthetic_Data!J171</x:f>
        <x:v>0.1</x:v>
      </x:c>
      <x:c r="E171" s="159" t="n">
        <x:f>Synthetic_Data!G171</x:f>
        <x:v>3.6</x:v>
      </x:c>
      <x:c r="F171" s="68" t="str">
        <x:f>Synthetic_Data!F171</x:f>
        <x:v>registration</x:v>
      </x:c>
    </x:row>
    <x:row r="172" ht="18" customHeight="1">
      <x:c r="A172" s="66" t="str">
        <x:f>Synthetic_Data!B172</x:f>
        <x:v>P0171</x:v>
      </x:c>
      <x:c r="B172" s="153" t="n">
        <x:f>Synthetic_Data!A172</x:f>
        <x:v>46134</x:v>
      </x:c>
      <x:c r="C172" s="159" t="n">
        <x:f>Synthetic_Data!N172</x:f>
        <x:v>42.8</x:v>
      </x:c>
      <x:c r="D172" s="159" t="n">
        <x:f>Synthetic_Data!J172</x:f>
        <x:v>4.1</x:v>
      </x:c>
      <x:c r="E172" s="159" t="n">
        <x:f>Synthetic_Data!G172</x:f>
        <x:v>5.9</x:v>
      </x:c>
      <x:c r="F172" s="68" t="str">
        <x:f>Synthetic_Data!F172</x:f>
        <x:v>sample_submission</x:v>
      </x:c>
    </x:row>
    <x:row r="173" ht="18" customHeight="1">
      <x:c r="A173" s="66" t="str">
        <x:f>Synthetic_Data!B173</x:f>
        <x:v>P0172</x:v>
      </x:c>
      <x:c r="B173" s="153" t="n">
        <x:f>Synthetic_Data!A173</x:f>
        <x:v>46134</x:v>
      </x:c>
      <x:c r="C173" s="159" t="n">
        <x:f>Synthetic_Data!N173</x:f>
        <x:v>45.2</x:v>
      </x:c>
      <x:c r="D173" s="159" t="n">
        <x:f>Synthetic_Data!J173</x:f>
        <x:v>2.4</x:v>
      </x:c>
      <x:c r="E173" s="159" t="n">
        <x:f>Synthetic_Data!G173</x:f>
        <x:v>4.2</x:v>
      </x:c>
      <x:c r="F173" s="68" t="str">
        <x:f>Synthetic_Data!F173</x:f>
        <x:v>registration</x:v>
      </x:c>
    </x:row>
    <x:row r="174" ht="18" customHeight="1">
      <x:c r="A174" s="66" t="str">
        <x:f>Synthetic_Data!B174</x:f>
        <x:v>P0173</x:v>
      </x:c>
      <x:c r="B174" s="153" t="n">
        <x:f>Synthetic_Data!A174</x:f>
        <x:v>46134</x:v>
      </x:c>
      <x:c r="C174" s="159" t="n">
        <x:f>Synthetic_Data!N174</x:f>
        <x:v>45.7</x:v>
      </x:c>
      <x:c r="D174" s="159" t="n">
        <x:f>Synthetic_Data!J174</x:f>
        <x:v>0.5</x:v>
      </x:c>
      <x:c r="E174" s="159" t="n">
        <x:f>Synthetic_Data!G174</x:f>
        <x:v>6.1</x:v>
      </x:c>
      <x:c r="F174" s="68" t="str">
        <x:f>Synthetic_Data!F174</x:f>
        <x:v>registration</x:v>
      </x:c>
    </x:row>
    <x:row r="175" ht="18" customHeight="1">
      <x:c r="A175" s="66" t="str">
        <x:f>Synthetic_Data!B175</x:f>
        <x:v>P0174</x:v>
      </x:c>
      <x:c r="B175" s="153" t="n">
        <x:f>Synthetic_Data!A175</x:f>
        <x:v>46134</x:v>
      </x:c>
      <x:c r="C175" s="159" t="n">
        <x:f>Synthetic_Data!N175</x:f>
        <x:v>45.9</x:v>
      </x:c>
      <x:c r="D175" s="159" t="n">
        <x:f>Synthetic_Data!J175</x:f>
        <x:v>0.2</x:v>
      </x:c>
      <x:c r="E175" s="159" t="n">
        <x:f>Synthetic_Data!G175</x:f>
        <x:v>2.3</x:v>
      </x:c>
      <x:c r="F175" s="68" t="str">
        <x:f>Synthetic_Data!F175</x:f>
        <x:v>billing_payment</x:v>
      </x:c>
    </x:row>
    <x:row r="176" ht="18" customHeight="1">
      <x:c r="A176" s="66" t="str">
        <x:f>Synthetic_Data!B176</x:f>
        <x:v>P0175</x:v>
      </x:c>
      <x:c r="B176" s="153" t="n">
        <x:f>Synthetic_Data!A176</x:f>
        <x:v>46134</x:v>
      </x:c>
      <x:c r="C176" s="159" t="n">
        <x:f>Synthetic_Data!N176</x:f>
        <x:v>47.4</x:v>
      </x:c>
      <x:c r="D176" s="159" t="n">
        <x:f>Synthetic_Data!J176</x:f>
        <x:v>1.5</x:v>
      </x:c>
      <x:c r="E176" s="159" t="n">
        <x:f>Synthetic_Data!G176</x:f>
        <x:v>5</x:v>
      </x:c>
      <x:c r="F176" s="68" t="str">
        <x:f>Synthetic_Data!F176</x:f>
        <x:v>sample_submission</x:v>
      </x:c>
    </x:row>
    <x:row r="177" ht="18" customHeight="1">
      <x:c r="A177" s="66" t="str">
        <x:f>Synthetic_Data!B177</x:f>
        <x:v>P0176</x:v>
      </x:c>
      <x:c r="B177" s="153" t="n">
        <x:f>Synthetic_Data!A177</x:f>
        <x:v>46134</x:v>
      </x:c>
      <x:c r="C177" s="159" t="n">
        <x:f>Synthetic_Data!N177</x:f>
        <x:v>49.5</x:v>
      </x:c>
      <x:c r="D177" s="159" t="n">
        <x:f>Synthetic_Data!J177</x:f>
        <x:v>2.1</x:v>
      </x:c>
      <x:c r="E177" s="159" t="n">
        <x:f>Synthetic_Data!G177</x:f>
        <x:v>2.5</x:v>
      </x:c>
      <x:c r="F177" s="68" t="str">
        <x:f>Synthetic_Data!F177</x:f>
        <x:v>billing_payment</x:v>
      </x:c>
    </x:row>
    <x:row r="178" ht="18" customHeight="1">
      <x:c r="A178" s="66" t="str">
        <x:f>Synthetic_Data!B178</x:f>
        <x:v>P0177</x:v>
      </x:c>
      <x:c r="B178" s="153" t="n">
        <x:f>Synthetic_Data!A178</x:f>
        <x:v>46134</x:v>
      </x:c>
      <x:c r="C178" s="159" t="n">
        <x:f>Synthetic_Data!N178</x:f>
        <x:v>53.3</x:v>
      </x:c>
      <x:c r="D178" s="159" t="n">
        <x:f>Synthetic_Data!J178</x:f>
        <x:v>3.8</x:v>
      </x:c>
      <x:c r="E178" s="159" t="n">
        <x:f>Synthetic_Data!G178</x:f>
        <x:v>3.3</x:v>
      </x:c>
      <x:c r="F178" s="68" t="str">
        <x:f>Synthetic_Data!F178</x:f>
        <x:v>billing_payment</x:v>
      </x:c>
    </x:row>
    <x:row r="179" ht="18" customHeight="1">
      <x:c r="A179" s="66" t="str">
        <x:f>Synthetic_Data!B179</x:f>
        <x:v>P0178</x:v>
      </x:c>
      <x:c r="B179" s="153" t="n">
        <x:f>Synthetic_Data!A179</x:f>
        <x:v>46134</x:v>
      </x:c>
      <x:c r="C179" s="159" t="n">
        <x:f>Synthetic_Data!N179</x:f>
        <x:v>54.5</x:v>
      </x:c>
      <x:c r="D179" s="159" t="n">
        <x:f>Synthetic_Data!J179</x:f>
        <x:v>1.2</x:v>
      </x:c>
      <x:c r="E179" s="159" t="n">
        <x:f>Synthetic_Data!G179</x:f>
        <x:v>2.8</x:v>
      </x:c>
      <x:c r="F179" s="68" t="str">
        <x:f>Synthetic_Data!F179</x:f>
        <x:v>registration</x:v>
      </x:c>
    </x:row>
    <x:row r="180" ht="18" customHeight="1">
      <x:c r="A180" s="66" t="str">
        <x:f>Synthetic_Data!B180</x:f>
        <x:v>P0179</x:v>
      </x:c>
      <x:c r="B180" s="153" t="n">
        <x:f>Synthetic_Data!A180</x:f>
        <x:v>46134</x:v>
      </x:c>
      <x:c r="C180" s="159" t="n">
        <x:f>Synthetic_Data!N180</x:f>
        <x:v>55.8</x:v>
      </x:c>
      <x:c r="D180" s="159" t="n">
        <x:f>Synthetic_Data!J180</x:f>
        <x:v>1.4</x:v>
      </x:c>
      <x:c r="E180" s="159" t="n">
        <x:f>Synthetic_Data!G180</x:f>
        <x:v>5.3</x:v>
      </x:c>
      <x:c r="F180" s="68" t="str">
        <x:f>Synthetic_Data!F180</x:f>
        <x:v>registration</x:v>
      </x:c>
    </x:row>
    <x:row r="181" ht="18" customHeight="1">
      <x:c r="A181" s="66" t="str">
        <x:f>Synthetic_Data!B181</x:f>
        <x:v>P0180</x:v>
      </x:c>
      <x:c r="B181" s="153" t="n">
        <x:f>Synthetic_Data!A181</x:f>
        <x:v>46134</x:v>
      </x:c>
      <x:c r="C181" s="159" t="n">
        <x:f>Synthetic_Data!N181</x:f>
        <x:v>56.4</x:v>
      </x:c>
      <x:c r="D181" s="159" t="n">
        <x:f>Synthetic_Data!J181</x:f>
        <x:v>0.5</x:v>
      </x:c>
      <x:c r="E181" s="159" t="n">
        <x:f>Synthetic_Data!G181</x:f>
        <x:v>4.8</x:v>
      </x:c>
      <x:c r="F181" s="68" t="str">
        <x:f>Synthetic_Data!F181</x:f>
        <x:v>registration</x:v>
      </x:c>
    </x:row>
    <x:row r="182" ht="18" customHeight="1">
      <x:c r="A182" s="66" t="str">
        <x:f>Synthetic_Data!B182</x:f>
        <x:v>P0181</x:v>
      </x:c>
      <x:c r="B182" s="153" t="n">
        <x:f>Synthetic_Data!A182</x:f>
        <x:v>46134</x:v>
      </x:c>
      <x:c r="C182" s="159" t="n">
        <x:f>Synthetic_Data!N182</x:f>
        <x:v>56.5</x:v>
      </x:c>
      <x:c r="D182" s="159" t="n">
        <x:f>Synthetic_Data!J182</x:f>
        <x:v>0.1</x:v>
      </x:c>
      <x:c r="E182" s="159" t="n">
        <x:f>Synthetic_Data!G182</x:f>
        <x:v>3.8</x:v>
      </x:c>
      <x:c r="F182" s="68" t="str">
        <x:f>Synthetic_Data!F182</x:f>
        <x:v>registration</x:v>
      </x:c>
    </x:row>
    <x:row r="183" ht="18" customHeight="1">
      <x:c r="A183" s="66" t="str">
        <x:f>Synthetic_Data!B183</x:f>
        <x:v>P0182</x:v>
      </x:c>
      <x:c r="B183" s="153" t="n">
        <x:f>Synthetic_Data!A183</x:f>
        <x:v>46134</x:v>
      </x:c>
      <x:c r="C183" s="159" t="n">
        <x:f>Synthetic_Data!N183</x:f>
        <x:v>58.4</x:v>
      </x:c>
      <x:c r="D183" s="159" t="n">
        <x:f>Synthetic_Data!J183</x:f>
        <x:v>1.9</x:v>
      </x:c>
      <x:c r="E183" s="159" t="n">
        <x:f>Synthetic_Data!G183</x:f>
        <x:v>1.6</x:v>
      </x:c>
      <x:c r="F183" s="68" t="str">
        <x:f>Synthetic_Data!F183</x:f>
        <x:v>report_collection</x:v>
      </x:c>
    </x:row>
    <x:row r="184" ht="18" customHeight="1">
      <x:c r="A184" s="66" t="str">
        <x:f>Synthetic_Data!B184</x:f>
        <x:v>P0183</x:v>
      </x:c>
      <x:c r="B184" s="153" t="n">
        <x:f>Synthetic_Data!A184</x:f>
        <x:v>46134</x:v>
      </x:c>
      <x:c r="C184" s="159" t="n">
        <x:f>Synthetic_Data!N184</x:f>
        <x:v>62.3</x:v>
      </x:c>
      <x:c r="D184" s="159" t="n">
        <x:f>Synthetic_Data!J184</x:f>
        <x:v>4</x:v>
      </x:c>
      <x:c r="E184" s="159" t="n">
        <x:f>Synthetic_Data!G184</x:f>
        <x:v>4.2</x:v>
      </x:c>
      <x:c r="F184" s="68" t="str">
        <x:f>Synthetic_Data!F184</x:f>
        <x:v>registration</x:v>
      </x:c>
    </x:row>
    <x:row r="185" ht="18" customHeight="1">
      <x:c r="A185" s="66" t="str">
        <x:f>Synthetic_Data!B185</x:f>
        <x:v>P0184</x:v>
      </x:c>
      <x:c r="B185" s="153" t="n">
        <x:f>Synthetic_Data!A185</x:f>
        <x:v>46134</x:v>
      </x:c>
      <x:c r="C185" s="159" t="n">
        <x:f>Synthetic_Data!N185</x:f>
        <x:v>68.7</x:v>
      </x:c>
      <x:c r="D185" s="159" t="n">
        <x:f>Synthetic_Data!J185</x:f>
        <x:v>6.4</x:v>
      </x:c>
      <x:c r="E185" s="159" t="n">
        <x:f>Synthetic_Data!G185</x:f>
        <x:v>4.9</x:v>
      </x:c>
      <x:c r="F185" s="68" t="str">
        <x:f>Synthetic_Data!F185</x:f>
        <x:v>registration</x:v>
      </x:c>
    </x:row>
    <x:row r="186" ht="18" customHeight="1">
      <x:c r="A186" s="66" t="str">
        <x:f>Synthetic_Data!B186</x:f>
        <x:v>P0185</x:v>
      </x:c>
      <x:c r="B186" s="153" t="n">
        <x:f>Synthetic_Data!A186</x:f>
        <x:v>46134</x:v>
      </x:c>
      <x:c r="C186" s="159" t="n">
        <x:f>Synthetic_Data!N186</x:f>
        <x:v>73.2</x:v>
      </x:c>
      <x:c r="D186" s="159" t="n">
        <x:f>Synthetic_Data!J186</x:f>
        <x:v>4.5</x:v>
      </x:c>
      <x:c r="E186" s="159" t="n">
        <x:f>Synthetic_Data!G186</x:f>
        <x:v>3.4</x:v>
      </x:c>
      <x:c r="F186" s="68" t="str">
        <x:f>Synthetic_Data!F186</x:f>
        <x:v>report_collection</x:v>
      </x:c>
    </x:row>
    <x:row r="187" ht="18" customHeight="1">
      <x:c r="A187" s="66" t="str">
        <x:f>Synthetic_Data!B187</x:f>
        <x:v>P0186</x:v>
      </x:c>
      <x:c r="B187" s="153" t="n">
        <x:f>Synthetic_Data!A187</x:f>
        <x:v>46134</x:v>
      </x:c>
      <x:c r="C187" s="159" t="n">
        <x:f>Synthetic_Data!N187</x:f>
        <x:v>73.5</x:v>
      </x:c>
      <x:c r="D187" s="159" t="n">
        <x:f>Synthetic_Data!J187</x:f>
        <x:v>0.3</x:v>
      </x:c>
      <x:c r="E187" s="159" t="n">
        <x:f>Synthetic_Data!G187</x:f>
        <x:v>3.2</x:v>
      </x:c>
      <x:c r="F187" s="68" t="str">
        <x:f>Synthetic_Data!F187</x:f>
        <x:v>billing_payment</x:v>
      </x:c>
    </x:row>
    <x:row r="188" ht="18" customHeight="1">
      <x:c r="A188" s="66" t="str">
        <x:f>Synthetic_Data!B188</x:f>
        <x:v>P0187</x:v>
      </x:c>
      <x:c r="B188" s="153" t="n">
        <x:f>Synthetic_Data!A188</x:f>
        <x:v>46134</x:v>
      </x:c>
      <x:c r="C188" s="159" t="n">
        <x:f>Synthetic_Data!N188</x:f>
        <x:v>74.2</x:v>
      </x:c>
      <x:c r="D188" s="159" t="n">
        <x:f>Synthetic_Data!J188</x:f>
        <x:v>0.7</x:v>
      </x:c>
      <x:c r="E188" s="159" t="n">
        <x:f>Synthetic_Data!G188</x:f>
        <x:v>1.4</x:v>
      </x:c>
      <x:c r="F188" s="68" t="str">
        <x:f>Synthetic_Data!F188</x:f>
        <x:v>report_collection</x:v>
      </x:c>
    </x:row>
    <x:row r="189" ht="18" customHeight="1">
      <x:c r="A189" s="66" t="str">
        <x:f>Synthetic_Data!B189</x:f>
        <x:v>P0188</x:v>
      </x:c>
      <x:c r="B189" s="153" t="n">
        <x:f>Synthetic_Data!A189</x:f>
        <x:v>46134</x:v>
      </x:c>
      <x:c r="C189" s="159" t="n">
        <x:f>Synthetic_Data!N189</x:f>
        <x:v>77</x:v>
      </x:c>
      <x:c r="D189" s="159" t="n">
        <x:f>Synthetic_Data!J189</x:f>
        <x:v>2.8</x:v>
      </x:c>
      <x:c r="E189" s="159" t="n">
        <x:f>Synthetic_Data!G189</x:f>
        <x:v>2.5</x:v>
      </x:c>
      <x:c r="F189" s="68" t="str">
        <x:f>Synthetic_Data!F189</x:f>
        <x:v>report_collection</x:v>
      </x:c>
    </x:row>
    <x:row r="190" ht="18" customHeight="1">
      <x:c r="A190" s="66" t="str">
        <x:f>Synthetic_Data!B190</x:f>
        <x:v>P0189</x:v>
      </x:c>
      <x:c r="B190" s="153" t="n">
        <x:f>Synthetic_Data!A190</x:f>
        <x:v>46134</x:v>
      </x:c>
      <x:c r="C190" s="159" t="n">
        <x:f>Synthetic_Data!N190</x:f>
        <x:v>77.2</x:v>
      </x:c>
      <x:c r="D190" s="159" t="n">
        <x:f>Synthetic_Data!J190</x:f>
        <x:v>0.2</x:v>
      </x:c>
      <x:c r="E190" s="159" t="n">
        <x:f>Synthetic_Data!G190</x:f>
        <x:v>4.2</x:v>
      </x:c>
      <x:c r="F190" s="68" t="str">
        <x:f>Synthetic_Data!F190</x:f>
        <x:v>registration</x:v>
      </x:c>
    </x:row>
    <x:row r="191" ht="18" customHeight="1">
      <x:c r="A191" s="66" t="str">
        <x:f>Synthetic_Data!B191</x:f>
        <x:v>P0190</x:v>
      </x:c>
      <x:c r="B191" s="153" t="n">
        <x:f>Synthetic_Data!A191</x:f>
        <x:v>46134</x:v>
      </x:c>
      <x:c r="C191" s="159" t="n">
        <x:f>Synthetic_Data!N191</x:f>
        <x:v>90.7</x:v>
      </x:c>
      <x:c r="D191" s="159" t="n">
        <x:f>Synthetic_Data!J191</x:f>
        <x:v>13.5</x:v>
      </x:c>
      <x:c r="E191" s="159" t="n">
        <x:f>Synthetic_Data!G191</x:f>
        <x:v>4.5</x:v>
      </x:c>
      <x:c r="F191" s="68" t="str">
        <x:f>Synthetic_Data!F191</x:f>
        <x:v>registration</x:v>
      </x:c>
    </x:row>
    <x:row r="192" ht="18" customHeight="1">
      <x:c r="A192" s="66" t="str">
        <x:f>Synthetic_Data!B192</x:f>
        <x:v>P0191</x:v>
      </x:c>
      <x:c r="B192" s="153" t="n">
        <x:f>Synthetic_Data!A192</x:f>
        <x:v>46134</x:v>
      </x:c>
      <x:c r="C192" s="159" t="n">
        <x:f>Synthetic_Data!N192</x:f>
        <x:v>124</x:v>
      </x:c>
      <x:c r="D192" s="159" t="n">
        <x:f>Synthetic_Data!J192</x:f>
        <x:v>33.3</x:v>
      </x:c>
      <x:c r="E192" s="159" t="n">
        <x:f>Synthetic_Data!G192</x:f>
        <x:v>1.2</x:v>
      </x:c>
      <x:c r="F192" s="68" t="str">
        <x:f>Synthetic_Data!F192</x:f>
        <x:v>inquiry</x:v>
      </x:c>
    </x:row>
    <x:row r="193" ht="18" customHeight="1">
      <x:c r="A193" s="66" t="str">
        <x:f>Synthetic_Data!B193</x:f>
        <x:v>P0192</x:v>
      </x:c>
      <x:c r="B193" s="153" t="n">
        <x:f>Synthetic_Data!A193</x:f>
        <x:v>46134</x:v>
      </x:c>
      <x:c r="C193" s="159" t="n">
        <x:f>Synthetic_Data!N193</x:f>
        <x:v>144.5</x:v>
      </x:c>
      <x:c r="D193" s="159" t="n">
        <x:f>Synthetic_Data!J193</x:f>
        <x:v>20.5</x:v>
      </x:c>
      <x:c r="E193" s="159" t="n">
        <x:f>Synthetic_Data!G193</x:f>
        <x:v>1.4</x:v>
      </x:c>
      <x:c r="F193" s="68" t="str">
        <x:f>Synthetic_Data!F193</x:f>
        <x:v>report_collection</x:v>
      </x:c>
    </x:row>
    <x:row r="194" ht="18" customHeight="1">
      <x:c r="A194" s="66" t="str">
        <x:f>Synthetic_Data!B194</x:f>
        <x:v>P0193</x:v>
      </x:c>
      <x:c r="B194" s="153" t="n">
        <x:f>Synthetic_Data!A194</x:f>
        <x:v>46134</x:v>
      </x:c>
      <x:c r="C194" s="159" t="n">
        <x:f>Synthetic_Data!N194</x:f>
        <x:v>145.3</x:v>
      </x:c>
      <x:c r="D194" s="159" t="n">
        <x:f>Synthetic_Data!J194</x:f>
        <x:v>0.8</x:v>
      </x:c>
      <x:c r="E194" s="159" t="n">
        <x:f>Synthetic_Data!G194</x:f>
        <x:v>4.2</x:v>
      </x:c>
      <x:c r="F194" s="68" t="str">
        <x:f>Synthetic_Data!F194</x:f>
        <x:v>registration</x:v>
      </x:c>
    </x:row>
    <x:row r="195" ht="18" customHeight="1">
      <x:c r="A195" s="66" t="str">
        <x:f>Synthetic_Data!B195</x:f>
        <x:v>P0194</x:v>
      </x:c>
      <x:c r="B195" s="153" t="n">
        <x:f>Synthetic_Data!A195</x:f>
        <x:v>46134</x:v>
      </x:c>
      <x:c r="C195" s="159" t="n">
        <x:f>Synthetic_Data!N195</x:f>
        <x:v>157.8</x:v>
      </x:c>
      <x:c r="D195" s="159" t="n">
        <x:f>Synthetic_Data!J195</x:f>
        <x:v>12.5</x:v>
      </x:c>
      <x:c r="E195" s="159" t="n">
        <x:f>Synthetic_Data!G195</x:f>
        <x:v>4.7</x:v>
      </x:c>
      <x:c r="F195" s="68" t="str">
        <x:f>Synthetic_Data!F195</x:f>
        <x:v>sample_submission</x:v>
      </x:c>
    </x:row>
    <x:row r="196" ht="18" customHeight="1">
      <x:c r="A196" s="66" t="str">
        <x:f>Synthetic_Data!B196</x:f>
        <x:v>P0195</x:v>
      </x:c>
      <x:c r="B196" s="153" t="n">
        <x:f>Synthetic_Data!A196</x:f>
        <x:v>46134</x:v>
      </x:c>
      <x:c r="C196" s="159" t="n">
        <x:f>Synthetic_Data!N196</x:f>
        <x:v>160.6</x:v>
      </x:c>
      <x:c r="D196" s="159" t="n">
        <x:f>Synthetic_Data!J196</x:f>
        <x:v>2.7</x:v>
      </x:c>
      <x:c r="E196" s="159" t="n">
        <x:f>Synthetic_Data!G196</x:f>
        <x:v>1.4</x:v>
      </x:c>
      <x:c r="F196" s="68" t="str">
        <x:f>Synthetic_Data!F196</x:f>
        <x:v>report_collection</x:v>
      </x:c>
    </x:row>
    <x:row r="197" ht="18" customHeight="1">
      <x:c r="A197" s="66" t="str">
        <x:f>Synthetic_Data!B197</x:f>
        <x:v>P0196</x:v>
      </x:c>
      <x:c r="B197" s="153" t="n">
        <x:f>Synthetic_Data!A197</x:f>
        <x:v>46134</x:v>
      </x:c>
      <x:c r="C197" s="159" t="n">
        <x:f>Synthetic_Data!N197</x:f>
        <x:v>162.2</x:v>
      </x:c>
      <x:c r="D197" s="159" t="n">
        <x:f>Synthetic_Data!J197</x:f>
        <x:v>1.6</x:v>
      </x:c>
      <x:c r="E197" s="159" t="n">
        <x:f>Synthetic_Data!G197</x:f>
        <x:v>3.3</x:v>
      </x:c>
      <x:c r="F197" s="68" t="str">
        <x:f>Synthetic_Data!F197</x:f>
        <x:v>registration</x:v>
      </x:c>
    </x:row>
    <x:row r="198" ht="18" customHeight="1">
      <x:c r="A198" s="66" t="str">
        <x:f>Synthetic_Data!B198</x:f>
        <x:v>P0197</x:v>
      </x:c>
      <x:c r="B198" s="153" t="n">
        <x:f>Synthetic_Data!A198</x:f>
        <x:v>46134</x:v>
      </x:c>
      <x:c r="C198" s="159" t="n">
        <x:f>Synthetic_Data!N198</x:f>
        <x:v>164.7</x:v>
      </x:c>
      <x:c r="D198" s="159" t="n">
        <x:f>Synthetic_Data!J198</x:f>
        <x:v>2.5</x:v>
      </x:c>
      <x:c r="E198" s="159" t="n">
        <x:f>Synthetic_Data!G198</x:f>
        <x:v>1.4</x:v>
      </x:c>
      <x:c r="F198" s="68" t="str">
        <x:f>Synthetic_Data!F198</x:f>
        <x:v>report_collection</x:v>
      </x:c>
    </x:row>
    <x:row r="199" ht="18" customHeight="1">
      <x:c r="A199" s="66" t="str">
        <x:f>Synthetic_Data!B199</x:f>
        <x:v>P0198</x:v>
      </x:c>
      <x:c r="B199" s="153" t="n">
        <x:f>Synthetic_Data!A199</x:f>
        <x:v>46134</x:v>
      </x:c>
      <x:c r="C199" s="159" t="n">
        <x:f>Synthetic_Data!N199</x:f>
        <x:v>166</x:v>
      </x:c>
      <x:c r="D199" s="159" t="n">
        <x:f>Synthetic_Data!J199</x:f>
        <x:v>1.3</x:v>
      </x:c>
      <x:c r="E199" s="159" t="n">
        <x:f>Synthetic_Data!G199</x:f>
        <x:v>2.3</x:v>
      </x:c>
      <x:c r="F199" s="68" t="str">
        <x:f>Synthetic_Data!F199</x:f>
        <x:v>report_collection</x:v>
      </x:c>
    </x:row>
    <x:row r="200" ht="18" customHeight="1">
      <x:c r="A200" s="66" t="str">
        <x:f>Synthetic_Data!B200</x:f>
        <x:v>P0199</x:v>
      </x:c>
      <x:c r="B200" s="153" t="n">
        <x:f>Synthetic_Data!A200</x:f>
        <x:v>46134</x:v>
      </x:c>
      <x:c r="C200" s="159" t="n">
        <x:f>Synthetic_Data!N200</x:f>
        <x:v>178.8</x:v>
      </x:c>
      <x:c r="D200" s="159" t="n">
        <x:f>Synthetic_Data!J200</x:f>
        <x:v>12.8</x:v>
      </x:c>
      <x:c r="E200" s="159" t="n">
        <x:f>Synthetic_Data!G200</x:f>
        <x:v>4.5</x:v>
      </x:c>
      <x:c r="F200" s="68" t="str">
        <x:f>Synthetic_Data!F200</x:f>
        <x:v>registration</x:v>
      </x:c>
    </x:row>
    <x:row r="201" ht="18" customHeight="1">
      <x:c r="A201" s="66" t="str">
        <x:f>Synthetic_Data!B201</x:f>
        <x:v>P0200</x:v>
      </x:c>
      <x:c r="B201" s="153" t="n">
        <x:f>Synthetic_Data!A201</x:f>
        <x:v>46134</x:v>
      </x:c>
      <x:c r="C201" s="159" t="n">
        <x:f>Synthetic_Data!N201</x:f>
        <x:v>179.8</x:v>
      </x:c>
      <x:c r="D201" s="159" t="n">
        <x:f>Synthetic_Data!J201</x:f>
        <x:v>1</x:v>
      </x:c>
      <x:c r="E201" s="159" t="n">
        <x:f>Synthetic_Data!G201</x:f>
        <x:v>5.7</x:v>
      </x:c>
      <x:c r="F201" s="68" t="str">
        <x:f>Synthetic_Data!F201</x:f>
        <x:v>registration</x:v>
      </x:c>
    </x:row>
    <x:row r="202" ht="18" customHeight="1">
      <x:c r="A202" s="66" t="str">
        <x:f>Synthetic_Data!B202</x:f>
        <x:v>P0201</x:v>
      </x:c>
      <x:c r="B202" s="153" t="n">
        <x:f>Synthetic_Data!A202</x:f>
        <x:v>46134</x:v>
      </x:c>
      <x:c r="C202" s="159" t="n">
        <x:f>Synthetic_Data!N202</x:f>
        <x:v>183.7</x:v>
      </x:c>
      <x:c r="D202" s="159" t="n">
        <x:f>Synthetic_Data!J202</x:f>
        <x:v>3.9</x:v>
      </x:c>
      <x:c r="E202" s="159" t="n">
        <x:f>Synthetic_Data!G202</x:f>
        <x:v>3.6</x:v>
      </x:c>
      <x:c r="F202" s="68" t="str">
        <x:f>Synthetic_Data!F202</x:f>
        <x:v>registration</x:v>
      </x:c>
    </x:row>
    <x:row r="203" ht="18" customHeight="1">
      <x:c r="A203" s="66" t="str">
        <x:f>Synthetic_Data!B203</x:f>
        <x:v>P0202</x:v>
      </x:c>
      <x:c r="B203" s="153" t="n">
        <x:f>Synthetic_Data!A203</x:f>
        <x:v>46134</x:v>
      </x:c>
      <x:c r="C203" s="159" t="n">
        <x:f>Synthetic_Data!N203</x:f>
        <x:v>200.9</x:v>
      </x:c>
      <x:c r="D203" s="159" t="n">
        <x:f>Synthetic_Data!J203</x:f>
        <x:v>17.2</x:v>
      </x:c>
      <x:c r="E203" s="159" t="n">
        <x:f>Synthetic_Data!G203</x:f>
        <x:v>3.7</x:v>
      </x:c>
      <x:c r="F203" s="68" t="str">
        <x:f>Synthetic_Data!F203</x:f>
        <x:v>sample_submission</x:v>
      </x:c>
    </x:row>
    <x:row r="204" ht="18" customHeight="1">
      <x:c r="A204" s="66" t="str">
        <x:f>Synthetic_Data!B204</x:f>
        <x:v>P0203</x:v>
      </x:c>
      <x:c r="B204" s="153" t="n">
        <x:f>Synthetic_Data!A204</x:f>
        <x:v>46134</x:v>
      </x:c>
      <x:c r="C204" s="159" t="n">
        <x:f>Synthetic_Data!N204</x:f>
        <x:v>211</x:v>
      </x:c>
      <x:c r="D204" s="159" t="n">
        <x:f>Synthetic_Data!J204</x:f>
        <x:v>10.1</x:v>
      </x:c>
      <x:c r="E204" s="159" t="n">
        <x:f>Synthetic_Data!G204</x:f>
        <x:v>1.1</x:v>
      </x:c>
      <x:c r="F204" s="68" t="str">
        <x:f>Synthetic_Data!F204</x:f>
        <x:v>inquiry</x:v>
      </x:c>
    </x:row>
    <x:row r="205" ht="18" customHeight="1">
      <x:c r="A205" s="66" t="str">
        <x:f>Synthetic_Data!B205</x:f>
        <x:v>P0204</x:v>
      </x:c>
      <x:c r="B205" s="153" t="n">
        <x:f>Synthetic_Data!A205</x:f>
        <x:v>46134</x:v>
      </x:c>
      <x:c r="C205" s="159" t="n">
        <x:f>Synthetic_Data!N205</x:f>
        <x:v>219.3</x:v>
      </x:c>
      <x:c r="D205" s="159" t="n">
        <x:f>Synthetic_Data!J205</x:f>
        <x:v>8.3</x:v>
      </x:c>
      <x:c r="E205" s="159" t="n">
        <x:f>Synthetic_Data!G205</x:f>
        <x:v>1.3</x:v>
      </x:c>
      <x:c r="F205" s="68" t="str">
        <x:f>Synthetic_Data!F205</x:f>
        <x:v>report_collection</x:v>
      </x:c>
    </x:row>
    <x:row r="206" ht="18" customHeight="1">
      <x:c r="A206" s="66" t="str">
        <x:f>Synthetic_Data!B206</x:f>
        <x:v>P0205</x:v>
      </x:c>
      <x:c r="B206" s="153" t="n">
        <x:f>Synthetic_Data!A206</x:f>
        <x:v>46134</x:v>
      </x:c>
      <x:c r="C206" s="159" t="n">
        <x:f>Synthetic_Data!N206</x:f>
        <x:v>232.5</x:v>
      </x:c>
      <x:c r="D206" s="159" t="n">
        <x:f>Synthetic_Data!J206</x:f>
        <x:v>13.2</x:v>
      </x:c>
      <x:c r="E206" s="159" t="n">
        <x:f>Synthetic_Data!G206</x:f>
        <x:v>3.9</x:v>
      </x:c>
      <x:c r="F206" s="68" t="str">
        <x:f>Synthetic_Data!F206</x:f>
        <x:v>registration</x:v>
      </x:c>
    </x:row>
    <x:row r="207" ht="18" customHeight="1">
      <x:c r="A207" s="66" t="str">
        <x:f>Synthetic_Data!B207</x:f>
        <x:v>P0206</x:v>
      </x:c>
      <x:c r="B207" s="153" t="n">
        <x:f>Synthetic_Data!A207</x:f>
        <x:v>46134</x:v>
      </x:c>
      <x:c r="C207" s="159" t="n">
        <x:f>Synthetic_Data!N207</x:f>
        <x:v>256.4</x:v>
      </x:c>
      <x:c r="D207" s="159" t="n">
        <x:f>Synthetic_Data!J207</x:f>
        <x:v>23.9</x:v>
      </x:c>
      <x:c r="E207" s="159" t="n">
        <x:f>Synthetic_Data!G207</x:f>
        <x:v>4.4</x:v>
      </x:c>
      <x:c r="F207" s="68" t="str">
        <x:f>Synthetic_Data!F207</x:f>
        <x:v>registration</x:v>
      </x:c>
    </x:row>
    <x:row r="208" ht="18" customHeight="1">
      <x:c r="A208" s="66" t="str">
        <x:f>Synthetic_Data!B208</x:f>
        <x:v>P0207</x:v>
      </x:c>
      <x:c r="B208" s="153" t="n">
        <x:f>Synthetic_Data!A208</x:f>
        <x:v>46134</x:v>
      </x:c>
      <x:c r="C208" s="159" t="n">
        <x:f>Synthetic_Data!N208</x:f>
        <x:v>258.7</x:v>
      </x:c>
      <x:c r="D208" s="159" t="n">
        <x:f>Synthetic_Data!J208</x:f>
        <x:v>2.4</x:v>
      </x:c>
      <x:c r="E208" s="159" t="n">
        <x:f>Synthetic_Data!G208</x:f>
        <x:v>4.3</x:v>
      </x:c>
      <x:c r="F208" s="68" t="str">
        <x:f>Synthetic_Data!F208</x:f>
        <x:v>registration</x:v>
      </x:c>
    </x:row>
    <x:row r="209" ht="18" customHeight="1">
      <x:c r="A209" s="66" t="str">
        <x:f>Synthetic_Data!B209</x:f>
        <x:v>P0208</x:v>
      </x:c>
      <x:c r="B209" s="153" t="n">
        <x:f>Synthetic_Data!A209</x:f>
        <x:v>46134</x:v>
      </x:c>
      <x:c r="C209" s="159" t="n">
        <x:f>Synthetic_Data!N209</x:f>
        <x:v>272.2</x:v>
      </x:c>
      <x:c r="D209" s="159" t="n">
        <x:f>Synthetic_Data!J209</x:f>
        <x:v>13.5</x:v>
      </x:c>
      <x:c r="E209" s="159" t="n">
        <x:f>Synthetic_Data!G209</x:f>
        <x:v>1.3</x:v>
      </x:c>
      <x:c r="F209" s="68" t="str">
        <x:f>Synthetic_Data!F209</x:f>
        <x:v>inquiry</x:v>
      </x:c>
    </x:row>
    <x:row r="210" ht="18" customHeight="1">
      <x:c r="A210" s="66" t="str">
        <x:f>Synthetic_Data!B210</x:f>
        <x:v>P0209</x:v>
      </x:c>
      <x:c r="B210" s="153" t="n">
        <x:f>Synthetic_Data!A210</x:f>
        <x:v>46134</x:v>
      </x:c>
      <x:c r="C210" s="159" t="n">
        <x:f>Synthetic_Data!N210</x:f>
        <x:v>274.8</x:v>
      </x:c>
      <x:c r="D210" s="159" t="n">
        <x:f>Synthetic_Data!J210</x:f>
        <x:v>2.5</x:v>
      </x:c>
      <x:c r="E210" s="159" t="n">
        <x:f>Synthetic_Data!G210</x:f>
        <x:v>4.3</x:v>
      </x:c>
      <x:c r="F210" s="68" t="str">
        <x:f>Synthetic_Data!F210</x:f>
        <x:v>registration</x:v>
      </x:c>
    </x:row>
    <x:row r="211" ht="18" customHeight="1">
      <x:c r="A211" s="66" t="str">
        <x:f>Synthetic_Data!B211</x:f>
        <x:v>P0210</x:v>
      </x:c>
      <x:c r="B211" s="153" t="n">
        <x:f>Synthetic_Data!A211</x:f>
        <x:v>46134</x:v>
      </x:c>
      <x:c r="C211" s="159" t="n">
        <x:f>Synthetic_Data!N211</x:f>
        <x:v>279.6</x:v>
      </x:c>
      <x:c r="D211" s="159" t="n">
        <x:f>Synthetic_Data!J211</x:f>
        <x:v>4.9</x:v>
      </x:c>
      <x:c r="E211" s="159" t="n">
        <x:f>Synthetic_Data!G211</x:f>
        <x:v>4.6</x:v>
      </x:c>
      <x:c r="F211" s="68" t="str">
        <x:f>Synthetic_Data!F211</x:f>
        <x:v>registration</x:v>
      </x:c>
    </x:row>
    <x:row r="212" ht="18" customHeight="1">
      <x:c r="A212" s="66" t="str">
        <x:f>Synthetic_Data!B212</x:f>
        <x:v>P0211</x:v>
      </x:c>
      <x:c r="B212" s="153" t="n">
        <x:f>Synthetic_Data!A212</x:f>
        <x:v>46134</x:v>
      </x:c>
      <x:c r="C212" s="159" t="n">
        <x:f>Synthetic_Data!N212</x:f>
        <x:v>315.5</x:v>
      </x:c>
      <x:c r="D212" s="159" t="n">
        <x:f>Synthetic_Data!J212</x:f>
        <x:v>35.9</x:v>
      </x:c>
      <x:c r="E212" s="159" t="n">
        <x:f>Synthetic_Data!G212</x:f>
        <x:v>4.5</x:v>
      </x:c>
      <x:c r="F212" s="68" t="str">
        <x:f>Synthetic_Data!F212</x:f>
        <x:v>registration</x:v>
      </x:c>
    </x:row>
    <x:row r="213" ht="18" customHeight="1">
      <x:c r="A213" s="66" t="str">
        <x:f>Synthetic_Data!B213</x:f>
        <x:v>P0212</x:v>
      </x:c>
      <x:c r="B213" s="153" t="n">
        <x:f>Synthetic_Data!A213</x:f>
        <x:v>46134</x:v>
      </x:c>
      <x:c r="C213" s="159" t="n">
        <x:f>Synthetic_Data!N213</x:f>
        <x:v>334.1</x:v>
      </x:c>
      <x:c r="D213" s="159" t="n">
        <x:f>Synthetic_Data!J213</x:f>
        <x:v>18.6</x:v>
      </x:c>
      <x:c r="E213" s="159" t="n">
        <x:f>Synthetic_Data!G213</x:f>
        <x:v>5.4</x:v>
      </x:c>
      <x:c r="F213" s="68" t="str">
        <x:f>Synthetic_Data!F213</x:f>
        <x:v>sample_submission</x:v>
      </x:c>
    </x:row>
    <x:row r="214" ht="18" customHeight="1">
      <x:c r="A214" s="66" t="str">
        <x:f>Synthetic_Data!B214</x:f>
        <x:v>P0213</x:v>
      </x:c>
      <x:c r="B214" s="153" t="n">
        <x:f>Synthetic_Data!A214</x:f>
        <x:v>46134</x:v>
      </x:c>
      <x:c r="C214" s="159" t="n">
        <x:f>Synthetic_Data!N214</x:f>
        <x:v>340.4</x:v>
      </x:c>
      <x:c r="D214" s="159" t="n">
        <x:f>Synthetic_Data!J214</x:f>
        <x:v>6.3</x:v>
      </x:c>
      <x:c r="E214" s="159" t="n">
        <x:f>Synthetic_Data!G214</x:f>
        <x:v>5.1</x:v>
      </x:c>
      <x:c r="F214" s="68" t="str">
        <x:f>Synthetic_Data!F214</x:f>
        <x:v>sample_submission</x:v>
      </x:c>
    </x:row>
    <x:row r="215" ht="18" customHeight="1">
      <x:c r="A215" s="66" t="str">
        <x:f>Synthetic_Data!B215</x:f>
        <x:v>P0214</x:v>
      </x:c>
      <x:c r="B215" s="153" t="n">
        <x:f>Synthetic_Data!A215</x:f>
        <x:v>46134</x:v>
      </x:c>
      <x:c r="C215" s="159" t="n">
        <x:f>Synthetic_Data!N215</x:f>
        <x:v>343.5</x:v>
      </x:c>
      <x:c r="D215" s="159" t="n">
        <x:f>Synthetic_Data!J215</x:f>
        <x:v>3.1</x:v>
      </x:c>
      <x:c r="E215" s="159" t="n">
        <x:f>Synthetic_Data!G215</x:f>
        <x:v>1.5</x:v>
      </x:c>
      <x:c r="F215" s="68" t="str">
        <x:f>Synthetic_Data!F215</x:f>
        <x:v>report_collection</x:v>
      </x:c>
    </x:row>
    <x:row r="216" ht="18" customHeight="1">
      <x:c r="A216" s="66" t="str">
        <x:f>Synthetic_Data!B216</x:f>
        <x:v>P0215</x:v>
      </x:c>
      <x:c r="B216" s="153" t="n">
        <x:f>Synthetic_Data!A216</x:f>
        <x:v>46134</x:v>
      </x:c>
      <x:c r="C216" s="159" t="n">
        <x:f>Synthetic_Data!N216</x:f>
        <x:v>345.8</x:v>
      </x:c>
      <x:c r="D216" s="159" t="n">
        <x:f>Synthetic_Data!J216</x:f>
        <x:v>2.3</x:v>
      </x:c>
      <x:c r="E216" s="159" t="n">
        <x:f>Synthetic_Data!G216</x:f>
        <x:v>3.5</x:v>
      </x:c>
      <x:c r="F216" s="68" t="str">
        <x:f>Synthetic_Data!F216</x:f>
        <x:v>sample_submission</x:v>
      </x:c>
    </x:row>
    <x:row r="217" ht="18" customHeight="1">
      <x:c r="A217" s="66" t="str">
        <x:f>Synthetic_Data!B217</x:f>
        <x:v>P0216</x:v>
      </x:c>
      <x:c r="B217" s="153" t="n">
        <x:f>Synthetic_Data!A217</x:f>
        <x:v>46134</x:v>
      </x:c>
      <x:c r="C217" s="159" t="n">
        <x:f>Synthetic_Data!N217</x:f>
        <x:v>351.3</x:v>
      </x:c>
      <x:c r="D217" s="159" t="n">
        <x:f>Synthetic_Data!J217</x:f>
        <x:v>5.4</x:v>
      </x:c>
      <x:c r="E217" s="159" t="n">
        <x:f>Synthetic_Data!G217</x:f>
        <x:v>5.5</x:v>
      </x:c>
      <x:c r="F217" s="68" t="str">
        <x:f>Synthetic_Data!F217</x:f>
        <x:v>sample_submission</x:v>
      </x:c>
    </x:row>
    <x:row r="218" ht="18" customHeight="1">
      <x:c r="A218" s="66" t="str">
        <x:f>Synthetic_Data!B218</x:f>
        <x:v>P0217</x:v>
      </x:c>
      <x:c r="B218" s="153" t="n">
        <x:f>Synthetic_Data!A218</x:f>
        <x:v>46134</x:v>
      </x:c>
      <x:c r="C218" s="159" t="n">
        <x:f>Synthetic_Data!N218</x:f>
        <x:v>352.4</x:v>
      </x:c>
      <x:c r="D218" s="159" t="n">
        <x:f>Synthetic_Data!J218</x:f>
        <x:v>1.2</x:v>
      </x:c>
      <x:c r="E218" s="159" t="n">
        <x:f>Synthetic_Data!G218</x:f>
        <x:v>4.5</x:v>
      </x:c>
      <x:c r="F218" s="68" t="str">
        <x:f>Synthetic_Data!F218</x:f>
        <x:v>registration</x:v>
      </x:c>
    </x:row>
    <x:row r="219" ht="18" customHeight="1">
      <x:c r="A219" s="66" t="str">
        <x:f>Synthetic_Data!B219</x:f>
        <x:v>P0218</x:v>
      </x:c>
      <x:c r="B219" s="153" t="n">
        <x:f>Synthetic_Data!A219</x:f>
        <x:v>46134</x:v>
      </x:c>
      <x:c r="C219" s="159" t="n">
        <x:f>Synthetic_Data!N219</x:f>
        <x:v>360.5</x:v>
      </x:c>
      <x:c r="D219" s="159" t="n">
        <x:f>Synthetic_Data!J219</x:f>
        <x:v>8.1</x:v>
      </x:c>
      <x:c r="E219" s="159" t="n">
        <x:f>Synthetic_Data!G219</x:f>
        <x:v>4</x:v>
      </x:c>
      <x:c r="F219" s="68" t="str">
        <x:f>Synthetic_Data!F219</x:f>
        <x:v>billing_payment</x:v>
      </x:c>
    </x:row>
    <x:row r="220" ht="18" customHeight="1">
      <x:c r="A220" s="66" t="str">
        <x:f>Synthetic_Data!B220</x:f>
        <x:v>P0219</x:v>
      </x:c>
      <x:c r="B220" s="153" t="n">
        <x:f>Synthetic_Data!A220</x:f>
        <x:v>46134</x:v>
      </x:c>
      <x:c r="C220" s="159" t="n">
        <x:f>Synthetic_Data!N220</x:f>
        <x:v>360.6</x:v>
      </x:c>
      <x:c r="D220" s="159" t="n">
        <x:f>Synthetic_Data!J220</x:f>
        <x:v>0.1</x:v>
      </x:c>
      <x:c r="E220" s="159" t="n">
        <x:f>Synthetic_Data!G220</x:f>
        <x:v>3.8</x:v>
      </x:c>
      <x:c r="F220" s="68" t="str">
        <x:f>Synthetic_Data!F220</x:f>
        <x:v>sample_submission</x:v>
      </x:c>
    </x:row>
    <x:row r="221" ht="18" customHeight="1">
      <x:c r="A221" s="66" t="str">
        <x:f>Synthetic_Data!B221</x:f>
        <x:v>P0220</x:v>
      </x:c>
      <x:c r="B221" s="153" t="n">
        <x:f>Synthetic_Data!A221</x:f>
        <x:v>46134</x:v>
      </x:c>
      <x:c r="C221" s="159" t="n">
        <x:f>Synthetic_Data!N221</x:f>
        <x:v>363.1</x:v>
      </x:c>
      <x:c r="D221" s="159" t="n">
        <x:f>Synthetic_Data!J221</x:f>
        <x:v>2.5</x:v>
      </x:c>
      <x:c r="E221" s="159" t="n">
        <x:f>Synthetic_Data!G221</x:f>
        <x:v>4</x:v>
      </x:c>
      <x:c r="F221" s="68" t="str">
        <x:f>Synthetic_Data!F221</x:f>
        <x:v>billing_payment</x:v>
      </x:c>
    </x:row>
    <x:row r="222" ht="18" customHeight="1">
      <x:c r="A222" s="66" t="str">
        <x:f>Synthetic_Data!B222</x:f>
        <x:v>P0221</x:v>
      </x:c>
      <x:c r="B222" s="153" t="n">
        <x:f>Synthetic_Data!A222</x:f>
        <x:v>46134</x:v>
      </x:c>
      <x:c r="C222" s="159" t="n">
        <x:f>Synthetic_Data!N222</x:f>
        <x:v>363.6</x:v>
      </x:c>
      <x:c r="D222" s="159" t="n">
        <x:f>Synthetic_Data!J222</x:f>
        <x:v>0.5</x:v>
      </x:c>
      <x:c r="E222" s="159" t="n">
        <x:f>Synthetic_Data!G222</x:f>
        <x:v>4.3</x:v>
      </x:c>
      <x:c r="F222" s="68" t="str">
        <x:f>Synthetic_Data!F222</x:f>
        <x:v>sample_submission</x:v>
      </x:c>
    </x:row>
    <x:row r="223" ht="18" customHeight="1">
      <x:c r="A223" s="66" t="str">
        <x:f>Synthetic_Data!B223</x:f>
        <x:v>P0222</x:v>
      </x:c>
      <x:c r="B223" s="153" t="n">
        <x:f>Synthetic_Data!A223</x:f>
        <x:v>46134</x:v>
      </x:c>
      <x:c r="C223" s="159" t="n">
        <x:f>Synthetic_Data!N223</x:f>
        <x:v>364.3</x:v>
      </x:c>
      <x:c r="D223" s="159" t="n">
        <x:f>Synthetic_Data!J223</x:f>
        <x:v>0.7</x:v>
      </x:c>
      <x:c r="E223" s="159" t="n">
        <x:f>Synthetic_Data!G223</x:f>
        <x:v>4.1</x:v>
      </x:c>
      <x:c r="F223" s="68" t="str">
        <x:f>Synthetic_Data!F223</x:f>
        <x:v>appointment_booking</x:v>
      </x:c>
    </x:row>
    <x:row r="224" ht="18" customHeight="1">
      <x:c r="A224" s="66" t="str">
        <x:f>Synthetic_Data!B224</x:f>
        <x:v>P0223</x:v>
      </x:c>
      <x:c r="B224" s="153" t="n">
        <x:f>Synthetic_Data!A224</x:f>
        <x:v>46134</x:v>
      </x:c>
      <x:c r="C224" s="159" t="n">
        <x:f>Synthetic_Data!N224</x:f>
        <x:v>367.8</x:v>
      </x:c>
      <x:c r="D224" s="159" t="n">
        <x:f>Synthetic_Data!J224</x:f>
        <x:v>3.5</x:v>
      </x:c>
      <x:c r="E224" s="159" t="n">
        <x:f>Synthetic_Data!G224</x:f>
        <x:v>6.1</x:v>
      </x:c>
      <x:c r="F224" s="68" t="str">
        <x:f>Synthetic_Data!F224</x:f>
        <x:v>registration</x:v>
      </x:c>
    </x:row>
    <x:row r="225" ht="18" customHeight="1">
      <x:c r="A225" s="66" t="str">
        <x:f>Synthetic_Data!B225</x:f>
        <x:v>P0224</x:v>
      </x:c>
      <x:c r="B225" s="153" t="n">
        <x:f>Synthetic_Data!A225</x:f>
        <x:v>46134</x:v>
      </x:c>
      <x:c r="C225" s="159" t="n">
        <x:f>Synthetic_Data!N225</x:f>
        <x:v>369</x:v>
      </x:c>
      <x:c r="D225" s="159" t="n">
        <x:f>Synthetic_Data!J225</x:f>
        <x:v>1.2</x:v>
      </x:c>
      <x:c r="E225" s="159" t="n">
        <x:f>Synthetic_Data!G225</x:f>
        <x:v>4.7</x:v>
      </x:c>
      <x:c r="F225" s="68" t="str">
        <x:f>Synthetic_Data!F225</x:f>
        <x:v>sample_submission</x:v>
      </x:c>
    </x:row>
    <x:row r="226" ht="18" customHeight="1">
      <x:c r="A226" s="66" t="str">
        <x:f>Synthetic_Data!B226</x:f>
        <x:v>P0225</x:v>
      </x:c>
      <x:c r="B226" s="153" t="n">
        <x:f>Synthetic_Data!A226</x:f>
        <x:v>46134</x:v>
      </x:c>
      <x:c r="C226" s="159" t="n">
        <x:f>Synthetic_Data!N226</x:f>
        <x:v>376.4</x:v>
      </x:c>
      <x:c r="D226" s="159" t="n">
        <x:f>Synthetic_Data!J226</x:f>
        <x:v>7.4</x:v>
      </x:c>
      <x:c r="E226" s="159" t="n">
        <x:f>Synthetic_Data!G226</x:f>
        <x:v>4.3</x:v>
      </x:c>
      <x:c r="F226" s="68" t="str">
        <x:f>Synthetic_Data!F226</x:f>
        <x:v>registration</x:v>
      </x:c>
    </x:row>
    <x:row r="227" ht="18" customHeight="1">
      <x:c r="A227" s="66" t="str">
        <x:f>Synthetic_Data!B227</x:f>
        <x:v>P0226</x:v>
      </x:c>
      <x:c r="B227" s="153" t="n">
        <x:f>Synthetic_Data!A227</x:f>
        <x:v>46134</x:v>
      </x:c>
      <x:c r="C227" s="159" t="n">
        <x:f>Synthetic_Data!N227</x:f>
        <x:v>378</x:v>
      </x:c>
      <x:c r="D227" s="159" t="n">
        <x:f>Synthetic_Data!J227</x:f>
        <x:v>1.5</x:v>
      </x:c>
      <x:c r="E227" s="159" t="n">
        <x:f>Synthetic_Data!G227</x:f>
        <x:v>3.1</x:v>
      </x:c>
      <x:c r="F227" s="68" t="str">
        <x:f>Synthetic_Data!F227</x:f>
        <x:v>registration</x:v>
      </x:c>
    </x:row>
    <x:row r="228" ht="18" customHeight="1">
      <x:c r="A228" s="66" t="str">
        <x:f>Synthetic_Data!B228</x:f>
        <x:v>P0227</x:v>
      </x:c>
      <x:c r="B228" s="153" t="n">
        <x:f>Synthetic_Data!A228</x:f>
        <x:v>46134</x:v>
      </x:c>
      <x:c r="C228" s="159" t="n">
        <x:f>Synthetic_Data!N228</x:f>
        <x:v>380.6</x:v>
      </x:c>
      <x:c r="D228" s="159" t="n">
        <x:f>Synthetic_Data!J228</x:f>
        <x:v>2.7</x:v>
      </x:c>
      <x:c r="E228" s="159" t="n">
        <x:f>Synthetic_Data!G228</x:f>
        <x:v>7.2</x:v>
      </x:c>
      <x:c r="F228" s="68" t="str">
        <x:f>Synthetic_Data!F228</x:f>
        <x:v>sample_submission</x:v>
      </x:c>
    </x:row>
    <x:row r="229" ht="18" customHeight="1">
      <x:c r="A229" s="66" t="str">
        <x:f>Synthetic_Data!B229</x:f>
        <x:v>P0228</x:v>
      </x:c>
      <x:c r="B229" s="153" t="n">
        <x:f>Synthetic_Data!A229</x:f>
        <x:v>46134</x:v>
      </x:c>
      <x:c r="C229" s="159" t="n">
        <x:f>Synthetic_Data!N229</x:f>
        <x:v>392.8</x:v>
      </x:c>
      <x:c r="D229" s="159" t="n">
        <x:f>Synthetic_Data!J229</x:f>
        <x:v>12.2</x:v>
      </x:c>
      <x:c r="E229" s="159" t="n">
        <x:f>Synthetic_Data!G229</x:f>
        <x:v>1.9</x:v>
      </x:c>
      <x:c r="F229" s="68" t="str">
        <x:f>Synthetic_Data!F229</x:f>
        <x:v>inquiry</x:v>
      </x:c>
    </x:row>
    <x:row r="230" ht="18" customHeight="1">
      <x:c r="A230" s="66" t="str">
        <x:f>Synthetic_Data!B230</x:f>
        <x:v>P0229</x:v>
      </x:c>
      <x:c r="B230" s="153" t="n">
        <x:f>Synthetic_Data!A230</x:f>
        <x:v>46134</x:v>
      </x:c>
      <x:c r="C230" s="159" t="n">
        <x:f>Synthetic_Data!N230</x:f>
        <x:v>397.6</x:v>
      </x:c>
      <x:c r="D230" s="159" t="n">
        <x:f>Synthetic_Data!J230</x:f>
        <x:v>4.8</x:v>
      </x:c>
      <x:c r="E230" s="159" t="n">
        <x:f>Synthetic_Data!G230</x:f>
        <x:v>3.5</x:v>
      </x:c>
      <x:c r="F230" s="68" t="str">
        <x:f>Synthetic_Data!F230</x:f>
        <x:v>sample_submission</x:v>
      </x:c>
    </x:row>
    <x:row r="231" ht="18" customHeight="1">
      <x:c r="A231" s="66" t="str">
        <x:f>Synthetic_Data!B231</x:f>
        <x:v>P0230</x:v>
      </x:c>
      <x:c r="B231" s="153" t="n">
        <x:f>Synthetic_Data!A231</x:f>
        <x:v>46134</x:v>
      </x:c>
      <x:c r="C231" s="159" t="n">
        <x:f>Synthetic_Data!N231</x:f>
        <x:v>402.2</x:v>
      </x:c>
      <x:c r="D231" s="159" t="n">
        <x:f>Synthetic_Data!J231</x:f>
        <x:v>4.6</x:v>
      </x:c>
      <x:c r="E231" s="159" t="n">
        <x:f>Synthetic_Data!G231</x:f>
        <x:v>1.4</x:v>
      </x:c>
      <x:c r="F231" s="68" t="str">
        <x:f>Synthetic_Data!F231</x:f>
        <x:v>report_collection</x:v>
      </x:c>
    </x:row>
    <x:row r="232" ht="18" customHeight="1">
      <x:c r="A232" s="66" t="str">
        <x:f>Synthetic_Data!B232</x:f>
        <x:v>P0231</x:v>
      </x:c>
      <x:c r="B232" s="153" t="n">
        <x:f>Synthetic_Data!A232</x:f>
        <x:v>46134</x:v>
      </x:c>
      <x:c r="C232" s="159" t="n">
        <x:f>Synthetic_Data!N232</x:f>
        <x:v>428</x:v>
      </x:c>
      <x:c r="D232" s="159" t="n">
        <x:f>Synthetic_Data!J232</x:f>
        <x:v>25.9</x:v>
      </x:c>
      <x:c r="E232" s="159" t="n">
        <x:f>Synthetic_Data!G232</x:f>
        <x:v>5.1</x:v>
      </x:c>
      <x:c r="F232" s="68" t="str">
        <x:f>Synthetic_Data!F232</x:f>
        <x:v>sample_submission</x:v>
      </x:c>
    </x:row>
    <x:row r="233" ht="18" customHeight="1">
      <x:c r="A233" s="66" t="str">
        <x:f>Synthetic_Data!B233</x:f>
        <x:v>P0232</x:v>
      </x:c>
      <x:c r="B233" s="153" t="n">
        <x:f>Synthetic_Data!A233</x:f>
        <x:v>46134</x:v>
      </x:c>
      <x:c r="C233" s="159" t="n">
        <x:f>Synthetic_Data!N233</x:f>
        <x:v>443.8</x:v>
      </x:c>
      <x:c r="D233" s="159" t="n">
        <x:f>Synthetic_Data!J233</x:f>
        <x:v>15.7</x:v>
      </x:c>
      <x:c r="E233" s="159" t="n">
        <x:f>Synthetic_Data!G233</x:f>
        <x:v>5.7</x:v>
      </x:c>
      <x:c r="F233" s="68" t="str">
        <x:f>Synthetic_Data!F233</x:f>
        <x:v>sample_submission</x:v>
      </x:c>
    </x:row>
    <x:row r="234" ht="18" customHeight="1">
      <x:c r="A234" s="66" t="str">
        <x:f>Synthetic_Data!B234</x:f>
        <x:v>P0233</x:v>
      </x:c>
      <x:c r="B234" s="153" t="n">
        <x:f>Synthetic_Data!A234</x:f>
        <x:v>46134</x:v>
      </x:c>
      <x:c r="C234" s="159" t="n">
        <x:f>Synthetic_Data!N234</x:f>
        <x:v>456.4</x:v>
      </x:c>
      <x:c r="D234" s="159" t="n">
        <x:f>Synthetic_Data!J234</x:f>
        <x:v>12.6</x:v>
      </x:c>
      <x:c r="E234" s="159" t="n">
        <x:f>Synthetic_Data!G234</x:f>
        <x:v>4.8</x:v>
      </x:c>
      <x:c r="F234" s="68" t="str">
        <x:f>Synthetic_Data!F234</x:f>
        <x:v>sample_submission</x:v>
      </x:c>
    </x:row>
    <x:row r="235" ht="18" customHeight="1">
      <x:c r="A235" s="66" t="str">
        <x:f>Synthetic_Data!B235</x:f>
        <x:v>P0234</x:v>
      </x:c>
      <x:c r="B235" s="153" t="n">
        <x:f>Synthetic_Data!A235</x:f>
        <x:v>46134</x:v>
      </x:c>
      <x:c r="C235" s="159" t="n">
        <x:f>Synthetic_Data!N235</x:f>
        <x:v>458.7</x:v>
      </x:c>
      <x:c r="D235" s="159" t="n">
        <x:f>Synthetic_Data!J235</x:f>
        <x:v>2.4</x:v>
      </x:c>
      <x:c r="E235" s="159" t="n">
        <x:f>Synthetic_Data!G235</x:f>
        <x:v>1.7</x:v>
      </x:c>
      <x:c r="F235" s="68" t="str">
        <x:f>Synthetic_Data!F235</x:f>
        <x:v>inquiry</x:v>
      </x:c>
    </x:row>
    <x:row r="236" ht="18" customHeight="1">
      <x:c r="A236" s="66" t="str">
        <x:f>Synthetic_Data!B236</x:f>
        <x:v>P0235</x:v>
      </x:c>
      <x:c r="B236" s="153" t="n">
        <x:f>Synthetic_Data!A236</x:f>
        <x:v>46134</x:v>
      </x:c>
      <x:c r="C236" s="159" t="n">
        <x:f>Synthetic_Data!N236</x:f>
        <x:v>460.6</x:v>
      </x:c>
      <x:c r="D236" s="159" t="n">
        <x:f>Synthetic_Data!J236</x:f>
        <x:v>1.9</x:v>
      </x:c>
      <x:c r="E236" s="159" t="n">
        <x:f>Synthetic_Data!G236</x:f>
        <x:v>5.9</x:v>
      </x:c>
      <x:c r="F236" s="68" t="str">
        <x:f>Synthetic_Data!F236</x:f>
        <x:v>registration</x:v>
      </x:c>
    </x:row>
    <x:row r="237" ht="18" customHeight="1">
      <x:c r="A237" s="66" t="str">
        <x:f>Synthetic_Data!B237</x:f>
        <x:v>P0236</x:v>
      </x:c>
      <x:c r="B237" s="153" t="n">
        <x:f>Synthetic_Data!A237</x:f>
        <x:v>46134</x:v>
      </x:c>
      <x:c r="C237" s="159" t="n">
        <x:f>Synthetic_Data!N237</x:f>
        <x:v>462.6</x:v>
      </x:c>
      <x:c r="D237" s="159" t="n">
        <x:f>Synthetic_Data!J237</x:f>
        <x:v>2</x:v>
      </x:c>
      <x:c r="E237" s="159" t="n">
        <x:f>Synthetic_Data!G237</x:f>
        <x:v>2.7</x:v>
      </x:c>
      <x:c r="F237" s="68" t="str">
        <x:f>Synthetic_Data!F237</x:f>
        <x:v>report_collection</x:v>
      </x:c>
    </x:row>
    <x:row r="238" ht="18" customHeight="1">
      <x:c r="A238" s="66" t="str">
        <x:f>Synthetic_Data!B238</x:f>
        <x:v>P0237</x:v>
      </x:c>
      <x:c r="B238" s="153" t="n">
        <x:f>Synthetic_Data!A238</x:f>
        <x:v>46134</x:v>
      </x:c>
      <x:c r="C238" s="159" t="n">
        <x:f>Synthetic_Data!N238</x:f>
        <x:v>471.2</x:v>
      </x:c>
      <x:c r="D238" s="159" t="n">
        <x:f>Synthetic_Data!J238</x:f>
        <x:v>8.6</x:v>
      </x:c>
      <x:c r="E238" s="159" t="n">
        <x:f>Synthetic_Data!G238</x:f>
        <x:v>4.9</x:v>
      </x:c>
      <x:c r="F238" s="68" t="str">
        <x:f>Synthetic_Data!F238</x:f>
        <x:v>registration</x:v>
      </x:c>
    </x:row>
    <x:row r="239" ht="18" customHeight="1">
      <x:c r="A239" s="66" t="str">
        <x:f>Synthetic_Data!B239</x:f>
        <x:v>P0238</x:v>
      </x:c>
      <x:c r="B239" s="153" t="n">
        <x:f>Synthetic_Data!A239</x:f>
        <x:v>46134</x:v>
      </x:c>
      <x:c r="C239" s="159" t="n">
        <x:f>Synthetic_Data!N239</x:f>
        <x:v>477.9</x:v>
      </x:c>
      <x:c r="D239" s="159" t="n">
        <x:f>Synthetic_Data!J239</x:f>
        <x:v>6.6</x:v>
      </x:c>
      <x:c r="E239" s="159" t="n">
        <x:f>Synthetic_Data!G239</x:f>
        <x:v>5.6</x:v>
      </x:c>
      <x:c r="F239" s="68" t="str">
        <x:f>Synthetic_Data!F239</x:f>
        <x:v>registration</x:v>
      </x:c>
    </x:row>
    <x:row r="240" ht="18" customHeight="1">
      <x:c r="A240" s="66" t="str">
        <x:f>Synthetic_Data!B240</x:f>
        <x:v>P0239</x:v>
      </x:c>
      <x:c r="B240" s="153" t="n">
        <x:f>Synthetic_Data!A240</x:f>
        <x:v>46135</x:v>
      </x:c>
      <x:c r="C240" s="159" t="n">
        <x:f>Synthetic_Data!N240</x:f>
        <x:v>6.9</x:v>
      </x:c>
      <x:c r="D240" s="159" t="n">
        <x:f>Synthetic_Data!J240</x:f>
        <x:v>0</x:v>
      </x:c>
      <x:c r="E240" s="159" t="n">
        <x:f>Synthetic_Data!G240</x:f>
        <x:v>6.5</x:v>
      </x:c>
      <x:c r="F240" s="68" t="str">
        <x:f>Synthetic_Data!F240</x:f>
        <x:v>sample_submission</x:v>
      </x:c>
    </x:row>
    <x:row r="241" ht="18" customHeight="1">
      <x:c r="A241" s="66" t="str">
        <x:f>Synthetic_Data!B241</x:f>
        <x:v>P0240</x:v>
      </x:c>
      <x:c r="B241" s="153" t="n">
        <x:f>Synthetic_Data!A241</x:f>
        <x:v>46135</x:v>
      </x:c>
      <x:c r="C241" s="159" t="n">
        <x:f>Synthetic_Data!N241</x:f>
        <x:v>9.7</x:v>
      </x:c>
      <x:c r="D241" s="159" t="n">
        <x:f>Synthetic_Data!J241</x:f>
        <x:v>2.8</x:v>
      </x:c>
      <x:c r="E241" s="159" t="n">
        <x:f>Synthetic_Data!G241</x:f>
        <x:v>6</x:v>
      </x:c>
      <x:c r="F241" s="68" t="str">
        <x:f>Synthetic_Data!F241</x:f>
        <x:v>sample_submission</x:v>
      </x:c>
    </x:row>
    <x:row r="242" ht="18" customHeight="1">
      <x:c r="A242" s="66" t="str">
        <x:f>Synthetic_Data!B242</x:f>
        <x:v>P0241</x:v>
      </x:c>
      <x:c r="B242" s="153" t="n">
        <x:f>Synthetic_Data!A242</x:f>
        <x:v>46135</x:v>
      </x:c>
      <x:c r="C242" s="159" t="n">
        <x:f>Synthetic_Data!N242</x:f>
        <x:v>24.4</x:v>
      </x:c>
      <x:c r="D242" s="159" t="n">
        <x:f>Synthetic_Data!J242</x:f>
        <x:v>14.7</x:v>
      </x:c>
      <x:c r="E242" s="159" t="n">
        <x:f>Synthetic_Data!G242</x:f>
        <x:v>4.8</x:v>
      </x:c>
      <x:c r="F242" s="68" t="str">
        <x:f>Synthetic_Data!F242</x:f>
        <x:v>sample_submission</x:v>
      </x:c>
    </x:row>
    <x:row r="243" ht="18" customHeight="1">
      <x:c r="A243" s="66" t="str">
        <x:f>Synthetic_Data!B243</x:f>
        <x:v>P0242</x:v>
      </x:c>
      <x:c r="B243" s="153" t="n">
        <x:f>Synthetic_Data!A243</x:f>
        <x:v>46135</x:v>
      </x:c>
      <x:c r="C243" s="159" t="n">
        <x:f>Synthetic_Data!N243</x:f>
        <x:v>31.6</x:v>
      </x:c>
      <x:c r="D243" s="159" t="n">
        <x:f>Synthetic_Data!J243</x:f>
        <x:v>7.2</x:v>
      </x:c>
      <x:c r="E243" s="159" t="n">
        <x:f>Synthetic_Data!G243</x:f>
        <x:v>3.9</x:v>
      </x:c>
      <x:c r="F243" s="68" t="str">
        <x:f>Synthetic_Data!F243</x:f>
        <x:v>billing_payment</x:v>
      </x:c>
    </x:row>
    <x:row r="244" ht="18" customHeight="1">
      <x:c r="A244" s="66" t="str">
        <x:f>Synthetic_Data!B244</x:f>
        <x:v>P0243</x:v>
      </x:c>
      <x:c r="B244" s="153" t="n">
        <x:f>Synthetic_Data!A244</x:f>
        <x:v>46135</x:v>
      </x:c>
      <x:c r="C244" s="159" t="n">
        <x:f>Synthetic_Data!N244</x:f>
        <x:v>35.2</x:v>
      </x:c>
      <x:c r="D244" s="159" t="n">
        <x:f>Synthetic_Data!J244</x:f>
        <x:v>3.7</x:v>
      </x:c>
      <x:c r="E244" s="159" t="n">
        <x:f>Synthetic_Data!G244</x:f>
        <x:v>3.3</x:v>
      </x:c>
      <x:c r="F244" s="68" t="str">
        <x:f>Synthetic_Data!F244</x:f>
        <x:v>sample_submission</x:v>
      </x:c>
    </x:row>
    <x:row r="245" ht="18" customHeight="1">
      <x:c r="A245" s="66" t="str">
        <x:f>Synthetic_Data!B245</x:f>
        <x:v>P0244</x:v>
      </x:c>
      <x:c r="B245" s="153" t="n">
        <x:f>Synthetic_Data!A245</x:f>
        <x:v>46135</x:v>
      </x:c>
      <x:c r="C245" s="159" t="n">
        <x:f>Synthetic_Data!N245</x:f>
        <x:v>37.9</x:v>
      </x:c>
      <x:c r="D245" s="159" t="n">
        <x:f>Synthetic_Data!J245</x:f>
        <x:v>2.7</x:v>
      </x:c>
      <x:c r="E245" s="159" t="n">
        <x:f>Synthetic_Data!G245</x:f>
        <x:v>5.6</x:v>
      </x:c>
      <x:c r="F245" s="68" t="str">
        <x:f>Synthetic_Data!F245</x:f>
        <x:v>registration</x:v>
      </x:c>
    </x:row>
    <x:row r="246" ht="18" customHeight="1">
      <x:c r="A246" s="66" t="str">
        <x:f>Synthetic_Data!B246</x:f>
        <x:v>P0245</x:v>
      </x:c>
      <x:c r="B246" s="153" t="n">
        <x:f>Synthetic_Data!A246</x:f>
        <x:v>46135</x:v>
      </x:c>
      <x:c r="C246" s="159" t="n">
        <x:f>Synthetic_Data!N246</x:f>
        <x:v>39.9</x:v>
      </x:c>
      <x:c r="D246" s="159" t="n">
        <x:f>Synthetic_Data!J246</x:f>
        <x:v>2</x:v>
      </x:c>
      <x:c r="E246" s="159" t="n">
        <x:f>Synthetic_Data!G246</x:f>
        <x:v>5.9</x:v>
      </x:c>
      <x:c r="F246" s="68" t="str">
        <x:f>Synthetic_Data!F246</x:f>
        <x:v>sample_submission</x:v>
      </x:c>
    </x:row>
    <x:row r="247" ht="18" customHeight="1">
      <x:c r="A247" s="66" t="str">
        <x:f>Synthetic_Data!B247</x:f>
        <x:v>P0246</x:v>
      </x:c>
      <x:c r="B247" s="153" t="n">
        <x:f>Synthetic_Data!A247</x:f>
        <x:v>46135</x:v>
      </x:c>
      <x:c r="C247" s="159" t="n">
        <x:f>Synthetic_Data!N247</x:f>
        <x:v>46</x:v>
      </x:c>
      <x:c r="D247" s="159" t="n">
        <x:f>Synthetic_Data!J247</x:f>
        <x:v>6.2</x:v>
      </x:c>
      <x:c r="E247" s="159" t="n">
        <x:f>Synthetic_Data!G247</x:f>
        <x:v>1.4</x:v>
      </x:c>
      <x:c r="F247" s="68" t="str">
        <x:f>Synthetic_Data!F247</x:f>
        <x:v>report_collection</x:v>
      </x:c>
    </x:row>
    <x:row r="248" ht="18" customHeight="1">
      <x:c r="A248" s="66" t="str">
        <x:f>Synthetic_Data!B248</x:f>
        <x:v>P0247</x:v>
      </x:c>
      <x:c r="B248" s="153" t="n">
        <x:f>Synthetic_Data!A248</x:f>
        <x:v>46135</x:v>
      </x:c>
      <x:c r="C248" s="159" t="n">
        <x:f>Synthetic_Data!N248</x:f>
        <x:v>46.7</x:v>
      </x:c>
      <x:c r="D248" s="159" t="n">
        <x:f>Synthetic_Data!J248</x:f>
        <x:v>0.7</x:v>
      </x:c>
      <x:c r="E248" s="159" t="n">
        <x:f>Synthetic_Data!G248</x:f>
        <x:v>3.6</x:v>
      </x:c>
      <x:c r="F248" s="68" t="str">
        <x:f>Synthetic_Data!F248</x:f>
        <x:v>registration</x:v>
      </x:c>
    </x:row>
    <x:row r="249" ht="18" customHeight="1">
      <x:c r="A249" s="66" t="str">
        <x:f>Synthetic_Data!B249</x:f>
        <x:v>P0248</x:v>
      </x:c>
      <x:c r="B249" s="153" t="n">
        <x:f>Synthetic_Data!A249</x:f>
        <x:v>46135</x:v>
      </x:c>
      <x:c r="C249" s="159" t="n">
        <x:f>Synthetic_Data!N249</x:f>
        <x:v>53.7</x:v>
      </x:c>
      <x:c r="D249" s="159" t="n">
        <x:f>Synthetic_Data!J249</x:f>
        <x:v>7</x:v>
      </x:c>
      <x:c r="E249" s="159" t="n">
        <x:f>Synthetic_Data!G249</x:f>
        <x:v>4.8</x:v>
      </x:c>
      <x:c r="F249" s="68" t="str">
        <x:f>Synthetic_Data!F249</x:f>
        <x:v>registration</x:v>
      </x:c>
    </x:row>
    <x:row r="250" ht="18" customHeight="1">
      <x:c r="A250" s="66" t="str">
        <x:f>Synthetic_Data!B250</x:f>
        <x:v>P0249</x:v>
      </x:c>
      <x:c r="B250" s="153" t="n">
        <x:f>Synthetic_Data!A250</x:f>
        <x:v>46135</x:v>
      </x:c>
      <x:c r="C250" s="159" t="n">
        <x:f>Synthetic_Data!N250</x:f>
        <x:v>54.9</x:v>
      </x:c>
      <x:c r="D250" s="159" t="n">
        <x:f>Synthetic_Data!J250</x:f>
        <x:v>1.2</x:v>
      </x:c>
      <x:c r="E250" s="159" t="n">
        <x:f>Synthetic_Data!G250</x:f>
        <x:v>4.2</x:v>
      </x:c>
      <x:c r="F250" s="68" t="str">
        <x:f>Synthetic_Data!F250</x:f>
        <x:v>registration</x:v>
      </x:c>
    </x:row>
    <x:row r="251" ht="18" customHeight="1">
      <x:c r="A251" s="66" t="str">
        <x:f>Synthetic_Data!B251</x:f>
        <x:v>P0250</x:v>
      </x:c>
      <x:c r="B251" s="153" t="n">
        <x:f>Synthetic_Data!A251</x:f>
        <x:v>46135</x:v>
      </x:c>
      <x:c r="C251" s="159" t="n">
        <x:f>Synthetic_Data!N251</x:f>
        <x:v>55.2</x:v>
      </x:c>
      <x:c r="D251" s="159" t="n">
        <x:f>Synthetic_Data!J251</x:f>
        <x:v>0.3</x:v>
      </x:c>
      <x:c r="E251" s="159" t="n">
        <x:f>Synthetic_Data!G251</x:f>
        <x:v>4.4</x:v>
      </x:c>
      <x:c r="F251" s="68" t="str">
        <x:f>Synthetic_Data!F251</x:f>
        <x:v>billing_payment</x:v>
      </x:c>
    </x:row>
    <x:row r="252" ht="18" customHeight="1">
      <x:c r="A252" s="66" t="str">
        <x:f>Synthetic_Data!B252</x:f>
        <x:v>P0251</x:v>
      </x:c>
      <x:c r="B252" s="153" t="n">
        <x:f>Synthetic_Data!A252</x:f>
        <x:v>46135</x:v>
      </x:c>
      <x:c r="C252" s="159" t="n">
        <x:f>Synthetic_Data!N252</x:f>
        <x:v>58.9</x:v>
      </x:c>
      <x:c r="D252" s="159" t="n">
        <x:f>Synthetic_Data!J252</x:f>
        <x:v>3.7</x:v>
      </x:c>
      <x:c r="E252" s="159" t="n">
        <x:f>Synthetic_Data!G252</x:f>
        <x:v>7</x:v>
      </x:c>
      <x:c r="F252" s="68" t="str">
        <x:f>Synthetic_Data!F252</x:f>
        <x:v>sample_submission</x:v>
      </x:c>
    </x:row>
    <x:row r="253" ht="18" customHeight="1">
      <x:c r="A253" s="66" t="str">
        <x:f>Synthetic_Data!B253</x:f>
        <x:v>P0252</x:v>
      </x:c>
      <x:c r="B253" s="153" t="n">
        <x:f>Synthetic_Data!A253</x:f>
        <x:v>46135</x:v>
      </x:c>
      <x:c r="C253" s="159" t="n">
        <x:f>Synthetic_Data!N253</x:f>
        <x:v>60</x:v>
      </x:c>
      <x:c r="D253" s="159" t="n">
        <x:f>Synthetic_Data!J253</x:f>
        <x:v>1.2</x:v>
      </x:c>
      <x:c r="E253" s="159" t="n">
        <x:f>Synthetic_Data!G253</x:f>
        <x:v>5</x:v>
      </x:c>
      <x:c r="F253" s="68" t="str">
        <x:f>Synthetic_Data!F253</x:f>
        <x:v>sample_submission</x:v>
      </x:c>
    </x:row>
    <x:row r="254" ht="18" customHeight="1">
      <x:c r="A254" s="66" t="str">
        <x:f>Synthetic_Data!B254</x:f>
        <x:v>P0253</x:v>
      </x:c>
      <x:c r="B254" s="153" t="n">
        <x:f>Synthetic_Data!A254</x:f>
        <x:v>46135</x:v>
      </x:c>
      <x:c r="C254" s="159" t="n">
        <x:f>Synthetic_Data!N254</x:f>
        <x:v>60.5</x:v>
      </x:c>
      <x:c r="D254" s="159" t="n">
        <x:f>Synthetic_Data!J254</x:f>
        <x:v>0.4</x:v>
      </x:c>
      <x:c r="E254" s="159" t="n">
        <x:f>Synthetic_Data!G254</x:f>
        <x:v>2.1</x:v>
      </x:c>
      <x:c r="F254" s="68" t="str">
        <x:f>Synthetic_Data!F254</x:f>
        <x:v>report_collection</x:v>
      </x:c>
    </x:row>
    <x:row r="255" ht="18" customHeight="1">
      <x:c r="A255" s="66" t="str">
        <x:f>Synthetic_Data!B255</x:f>
        <x:v>P0254</x:v>
      </x:c>
      <x:c r="B255" s="153" t="n">
        <x:f>Synthetic_Data!A255</x:f>
        <x:v>46135</x:v>
      </x:c>
      <x:c r="C255" s="159" t="n">
        <x:f>Synthetic_Data!N255</x:f>
        <x:v>61.5</x:v>
      </x:c>
      <x:c r="D255" s="159" t="n">
        <x:f>Synthetic_Data!J255</x:f>
        <x:v>1.1</x:v>
      </x:c>
      <x:c r="E255" s="159" t="n">
        <x:f>Synthetic_Data!G255</x:f>
        <x:v>1.2</x:v>
      </x:c>
      <x:c r="F255" s="68" t="str">
        <x:f>Synthetic_Data!F255</x:f>
        <x:v>inquiry</x:v>
      </x:c>
    </x:row>
    <x:row r="256" ht="18" customHeight="1">
      <x:c r="A256" s="66" t="str">
        <x:f>Synthetic_Data!B256</x:f>
        <x:v>P0255</x:v>
      </x:c>
      <x:c r="B256" s="153" t="n">
        <x:f>Synthetic_Data!A256</x:f>
        <x:v>46135</x:v>
      </x:c>
      <x:c r="C256" s="159" t="n">
        <x:f>Synthetic_Data!N256</x:f>
        <x:v>62.2</x:v>
      </x:c>
      <x:c r="D256" s="159" t="n">
        <x:f>Synthetic_Data!J256</x:f>
        <x:v>0.7</x:v>
      </x:c>
      <x:c r="E256" s="159" t="n">
        <x:f>Synthetic_Data!G256</x:f>
        <x:v>6.9</x:v>
      </x:c>
      <x:c r="F256" s="68" t="str">
        <x:f>Synthetic_Data!F256</x:f>
        <x:v>sample_submission</x:v>
      </x:c>
    </x:row>
    <x:row r="257" ht="18" customHeight="1">
      <x:c r="A257" s="66" t="str">
        <x:f>Synthetic_Data!B257</x:f>
        <x:v>P0256</x:v>
      </x:c>
      <x:c r="B257" s="153" t="n">
        <x:f>Synthetic_Data!A257</x:f>
        <x:v>46135</x:v>
      </x:c>
      <x:c r="C257" s="159" t="n">
        <x:f>Synthetic_Data!N257</x:f>
        <x:v>63.2</x:v>
      </x:c>
      <x:c r="D257" s="159" t="n">
        <x:f>Synthetic_Data!J257</x:f>
        <x:v>1</x:v>
      </x:c>
      <x:c r="E257" s="159" t="n">
        <x:f>Synthetic_Data!G257</x:f>
        <x:v>4.3</x:v>
      </x:c>
      <x:c r="F257" s="68" t="str">
        <x:f>Synthetic_Data!F257</x:f>
        <x:v>sample_submission</x:v>
      </x:c>
    </x:row>
    <x:row r="258" ht="18" customHeight="1">
      <x:c r="A258" s="66" t="str">
        <x:f>Synthetic_Data!B258</x:f>
        <x:v>P0257</x:v>
      </x:c>
      <x:c r="B258" s="153" t="n">
        <x:f>Synthetic_Data!A258</x:f>
        <x:v>46135</x:v>
      </x:c>
      <x:c r="C258" s="159" t="n">
        <x:f>Synthetic_Data!N258</x:f>
        <x:v>63.9</x:v>
      </x:c>
      <x:c r="D258" s="159" t="n">
        <x:f>Synthetic_Data!J258</x:f>
        <x:v>0.7</x:v>
      </x:c>
      <x:c r="E258" s="159" t="n">
        <x:f>Synthetic_Data!G258</x:f>
        <x:v>1.2</x:v>
      </x:c>
      <x:c r="F258" s="68" t="str">
        <x:f>Synthetic_Data!F258</x:f>
        <x:v>report_collection</x:v>
      </x:c>
    </x:row>
    <x:row r="259" ht="18" customHeight="1">
      <x:c r="A259" s="66" t="str">
        <x:f>Synthetic_Data!B259</x:f>
        <x:v>P0258</x:v>
      </x:c>
      <x:c r="B259" s="153" t="n">
        <x:f>Synthetic_Data!A259</x:f>
        <x:v>46135</x:v>
      </x:c>
      <x:c r="C259" s="159" t="n">
        <x:f>Synthetic_Data!N259</x:f>
        <x:v>67</x:v>
      </x:c>
      <x:c r="D259" s="159" t="n">
        <x:f>Synthetic_Data!J259</x:f>
        <x:v>3.1</x:v>
      </x:c>
      <x:c r="E259" s="159" t="n">
        <x:f>Synthetic_Data!G259</x:f>
        <x:v>3.7</x:v>
      </x:c>
      <x:c r="F259" s="68" t="str">
        <x:f>Synthetic_Data!F259</x:f>
        <x:v>registration</x:v>
      </x:c>
    </x:row>
    <x:row r="260" ht="18" customHeight="1">
      <x:c r="A260" s="66" t="str">
        <x:f>Synthetic_Data!B260</x:f>
        <x:v>P0259</x:v>
      </x:c>
      <x:c r="B260" s="153" t="n">
        <x:f>Synthetic_Data!A260</x:f>
        <x:v>46135</x:v>
      </x:c>
      <x:c r="C260" s="159" t="n">
        <x:f>Synthetic_Data!N260</x:f>
        <x:v>68.2</x:v>
      </x:c>
      <x:c r="D260" s="159" t="n">
        <x:f>Synthetic_Data!J260</x:f>
        <x:v>1.2</x:v>
      </x:c>
      <x:c r="E260" s="159" t="n">
        <x:f>Synthetic_Data!G260</x:f>
        <x:v>3.9</x:v>
      </x:c>
      <x:c r="F260" s="68" t="str">
        <x:f>Synthetic_Data!F260</x:f>
        <x:v>billing_payment</x:v>
      </x:c>
    </x:row>
    <x:row r="261" ht="18" customHeight="1">
      <x:c r="A261" s="66" t="str">
        <x:f>Synthetic_Data!B261</x:f>
        <x:v>P0260</x:v>
      </x:c>
      <x:c r="B261" s="153" t="n">
        <x:f>Synthetic_Data!A261</x:f>
        <x:v>46135</x:v>
      </x:c>
      <x:c r="C261" s="159" t="n">
        <x:f>Synthetic_Data!N261</x:f>
        <x:v>69.4</x:v>
      </x:c>
      <x:c r="D261" s="159" t="n">
        <x:f>Synthetic_Data!J261</x:f>
        <x:v>1.2</x:v>
      </x:c>
      <x:c r="E261" s="159" t="n">
        <x:f>Synthetic_Data!G261</x:f>
        <x:v>2.9</x:v>
      </x:c>
      <x:c r="F261" s="68" t="str">
        <x:f>Synthetic_Data!F261</x:f>
        <x:v>billing_payment</x:v>
      </x:c>
    </x:row>
    <x:row r="262" ht="18" customHeight="1">
      <x:c r="A262" s="66" t="str">
        <x:f>Synthetic_Data!B262</x:f>
        <x:v>P0261</x:v>
      </x:c>
      <x:c r="B262" s="153" t="n">
        <x:f>Synthetic_Data!A262</x:f>
        <x:v>46135</x:v>
      </x:c>
      <x:c r="C262" s="159" t="n">
        <x:f>Synthetic_Data!N262</x:f>
        <x:v>72.5</x:v>
      </x:c>
      <x:c r="D262" s="159" t="n">
        <x:f>Synthetic_Data!J262</x:f>
        <x:v>3.1</x:v>
      </x:c>
      <x:c r="E262" s="159" t="n">
        <x:f>Synthetic_Data!G262</x:f>
        <x:v>6.2</x:v>
      </x:c>
      <x:c r="F262" s="68" t="str">
        <x:f>Synthetic_Data!F262</x:f>
        <x:v>sample_submission</x:v>
      </x:c>
    </x:row>
    <x:row r="263" ht="18" customHeight="1">
      <x:c r="A263" s="66" t="str">
        <x:f>Synthetic_Data!B263</x:f>
        <x:v>P0262</x:v>
      </x:c>
      <x:c r="B263" s="153" t="n">
        <x:f>Synthetic_Data!A263</x:f>
        <x:v>46135</x:v>
      </x:c>
      <x:c r="C263" s="159" t="n">
        <x:f>Synthetic_Data!N263</x:f>
        <x:v>74</x:v>
      </x:c>
      <x:c r="D263" s="159" t="n">
        <x:f>Synthetic_Data!J263</x:f>
        <x:v>1.5</x:v>
      </x:c>
      <x:c r="E263" s="159" t="n">
        <x:f>Synthetic_Data!G263</x:f>
        <x:v>5.4</x:v>
      </x:c>
      <x:c r="F263" s="68" t="str">
        <x:f>Synthetic_Data!F263</x:f>
        <x:v>sample_submission</x:v>
      </x:c>
    </x:row>
    <x:row r="264" ht="18" customHeight="1">
      <x:c r="A264" s="66" t="str">
        <x:f>Synthetic_Data!B264</x:f>
        <x:v>P0263</x:v>
      </x:c>
      <x:c r="B264" s="153" t="n">
        <x:f>Synthetic_Data!A264</x:f>
        <x:v>46135</x:v>
      </x:c>
      <x:c r="C264" s="159" t="n">
        <x:f>Synthetic_Data!N264</x:f>
        <x:v>74.3</x:v>
      </x:c>
      <x:c r="D264" s="159" t="n">
        <x:f>Synthetic_Data!J264</x:f>
        <x:v>0.3</x:v>
      </x:c>
      <x:c r="E264" s="159" t="n">
        <x:f>Synthetic_Data!G264</x:f>
        <x:v>2.8</x:v>
      </x:c>
      <x:c r="F264" s="68" t="str">
        <x:f>Synthetic_Data!F264</x:f>
        <x:v>billing_payment</x:v>
      </x:c>
    </x:row>
    <x:row r="265" ht="18" customHeight="1">
      <x:c r="A265" s="66" t="str">
        <x:f>Synthetic_Data!B265</x:f>
        <x:v>P0264</x:v>
      </x:c>
      <x:c r="B265" s="153" t="n">
        <x:f>Synthetic_Data!A265</x:f>
        <x:v>46135</x:v>
      </x:c>
      <x:c r="C265" s="159" t="n">
        <x:f>Synthetic_Data!N265</x:f>
        <x:v>79.6</x:v>
      </x:c>
      <x:c r="D265" s="159" t="n">
        <x:f>Synthetic_Data!J265</x:f>
        <x:v>5.3</x:v>
      </x:c>
      <x:c r="E265" s="159" t="n">
        <x:f>Synthetic_Data!G265</x:f>
        <x:v>1.3</x:v>
      </x:c>
      <x:c r="F265" s="68" t="str">
        <x:f>Synthetic_Data!F265</x:f>
        <x:v>report_collection</x:v>
      </x:c>
    </x:row>
    <x:row r="266" ht="18" customHeight="1">
      <x:c r="A266" s="66" t="str">
        <x:f>Synthetic_Data!B266</x:f>
        <x:v>P0265</x:v>
      </x:c>
      <x:c r="B266" s="153" t="n">
        <x:f>Synthetic_Data!A266</x:f>
        <x:v>46135</x:v>
      </x:c>
      <x:c r="C266" s="159" t="n">
        <x:f>Synthetic_Data!N266</x:f>
        <x:v>87.4</x:v>
      </x:c>
      <x:c r="D266" s="159" t="n">
        <x:f>Synthetic_Data!J266</x:f>
        <x:v>7.8</x:v>
      </x:c>
      <x:c r="E266" s="159" t="n">
        <x:f>Synthetic_Data!G266</x:f>
        <x:v>1</x:v>
      </x:c>
      <x:c r="F266" s="68" t="str">
        <x:f>Synthetic_Data!F266</x:f>
        <x:v>report_collection</x:v>
      </x:c>
    </x:row>
    <x:row r="267" ht="18" customHeight="1">
      <x:c r="A267" s="66" t="str">
        <x:f>Synthetic_Data!B267</x:f>
        <x:v>P0266</x:v>
      </x:c>
      <x:c r="B267" s="153" t="n">
        <x:f>Synthetic_Data!A267</x:f>
        <x:v>46135</x:v>
      </x:c>
      <x:c r="C267" s="159" t="n">
        <x:f>Synthetic_Data!N267</x:f>
        <x:v>89.4</x:v>
      </x:c>
      <x:c r="D267" s="159" t="n">
        <x:f>Synthetic_Data!J267</x:f>
        <x:v>2</x:v>
      </x:c>
      <x:c r="E267" s="159" t="n">
        <x:f>Synthetic_Data!G267</x:f>
        <x:v>4.6</x:v>
      </x:c>
      <x:c r="F267" s="68" t="str">
        <x:f>Synthetic_Data!F267</x:f>
        <x:v>registration</x:v>
      </x:c>
    </x:row>
    <x:row r="268" ht="18" customHeight="1">
      <x:c r="A268" s="66" t="str">
        <x:f>Synthetic_Data!B268</x:f>
        <x:v>P0267</x:v>
      </x:c>
      <x:c r="B268" s="153" t="n">
        <x:f>Synthetic_Data!A268</x:f>
        <x:v>46135</x:v>
      </x:c>
      <x:c r="C268" s="159" t="n">
        <x:f>Synthetic_Data!N268</x:f>
        <x:v>89.5</x:v>
      </x:c>
      <x:c r="D268" s="159" t="n">
        <x:f>Synthetic_Data!J268</x:f>
        <x:v>0</x:v>
      </x:c>
      <x:c r="E268" s="159" t="n">
        <x:f>Synthetic_Data!G268</x:f>
        <x:v>2.2</x:v>
      </x:c>
      <x:c r="F268" s="68" t="str">
        <x:f>Synthetic_Data!F268</x:f>
        <x:v>inquiry</x:v>
      </x:c>
    </x:row>
    <x:row r="269" ht="18" customHeight="1">
      <x:c r="A269" s="66" t="str">
        <x:f>Synthetic_Data!B269</x:f>
        <x:v>P0268</x:v>
      </x:c>
      <x:c r="B269" s="153" t="n">
        <x:f>Synthetic_Data!A269</x:f>
        <x:v>46135</x:v>
      </x:c>
      <x:c r="C269" s="159" t="n">
        <x:f>Synthetic_Data!N269</x:f>
        <x:v>96.7</x:v>
      </x:c>
      <x:c r="D269" s="159" t="n">
        <x:f>Synthetic_Data!J269</x:f>
        <x:v>7.3</x:v>
      </x:c>
      <x:c r="E269" s="159" t="n">
        <x:f>Synthetic_Data!G269</x:f>
        <x:v>6.2</x:v>
      </x:c>
      <x:c r="F269" s="68" t="str">
        <x:f>Synthetic_Data!F269</x:f>
        <x:v>registration</x:v>
      </x:c>
    </x:row>
    <x:row r="270" ht="18" customHeight="1">
      <x:c r="A270" s="66" t="str">
        <x:f>Synthetic_Data!B270</x:f>
        <x:v>P0269</x:v>
      </x:c>
      <x:c r="B270" s="153" t="n">
        <x:f>Synthetic_Data!A270</x:f>
        <x:v>46135</x:v>
      </x:c>
      <x:c r="C270" s="159" t="n">
        <x:f>Synthetic_Data!N270</x:f>
        <x:v>99.2</x:v>
      </x:c>
      <x:c r="D270" s="159" t="n">
        <x:f>Synthetic_Data!J270</x:f>
        <x:v>2.4</x:v>
      </x:c>
      <x:c r="E270" s="159" t="n">
        <x:f>Synthetic_Data!G270</x:f>
        <x:v>5</x:v>
      </x:c>
      <x:c r="F270" s="68" t="str">
        <x:f>Synthetic_Data!F270</x:f>
        <x:v>registration</x:v>
      </x:c>
    </x:row>
    <x:row r="271" ht="18" customHeight="1">
      <x:c r="A271" s="66" t="str">
        <x:f>Synthetic_Data!B271</x:f>
        <x:v>P0270</x:v>
      </x:c>
      <x:c r="B271" s="153" t="n">
        <x:f>Synthetic_Data!A271</x:f>
        <x:v>46135</x:v>
      </x:c>
      <x:c r="C271" s="159" t="n">
        <x:f>Synthetic_Data!N271</x:f>
        <x:v>126.2</x:v>
      </x:c>
      <x:c r="D271" s="159" t="n">
        <x:f>Synthetic_Data!J271</x:f>
        <x:v>27</x:v>
      </x:c>
      <x:c r="E271" s="159" t="n">
        <x:f>Synthetic_Data!G271</x:f>
        <x:v>5.3</x:v>
      </x:c>
      <x:c r="F271" s="68" t="str">
        <x:f>Synthetic_Data!F271</x:f>
        <x:v>registration</x:v>
      </x:c>
    </x:row>
    <x:row r="272" ht="18" customHeight="1">
      <x:c r="A272" s="66" t="str">
        <x:f>Synthetic_Data!B272</x:f>
        <x:v>P0271</x:v>
      </x:c>
      <x:c r="B272" s="153" t="n">
        <x:f>Synthetic_Data!A272</x:f>
        <x:v>46135</x:v>
      </x:c>
      <x:c r="C272" s="159" t="n">
        <x:f>Synthetic_Data!N272</x:f>
        <x:v>132.7</x:v>
      </x:c>
      <x:c r="D272" s="159" t="n">
        <x:f>Synthetic_Data!J272</x:f>
        <x:v>6.5</x:v>
      </x:c>
      <x:c r="E272" s="159" t="n">
        <x:f>Synthetic_Data!G272</x:f>
        <x:v>1.9</x:v>
      </x:c>
      <x:c r="F272" s="68" t="str">
        <x:f>Synthetic_Data!F272</x:f>
        <x:v>report_collection</x:v>
      </x:c>
    </x:row>
    <x:row r="273" ht="18" customHeight="1">
      <x:c r="A273" s="66" t="str">
        <x:f>Synthetic_Data!B273</x:f>
        <x:v>P0272</x:v>
      </x:c>
      <x:c r="B273" s="153" t="n">
        <x:f>Synthetic_Data!A273</x:f>
        <x:v>46135</x:v>
      </x:c>
      <x:c r="C273" s="159" t="n">
        <x:f>Synthetic_Data!N273</x:f>
        <x:v>134.1</x:v>
      </x:c>
      <x:c r="D273" s="159" t="n">
        <x:f>Synthetic_Data!J273</x:f>
        <x:v>1.4</x:v>
      </x:c>
      <x:c r="E273" s="159" t="n">
        <x:f>Synthetic_Data!G273</x:f>
        <x:v>4</x:v>
      </x:c>
      <x:c r="F273" s="68" t="str">
        <x:f>Synthetic_Data!F273</x:f>
        <x:v>registration</x:v>
      </x:c>
    </x:row>
    <x:row r="274" ht="18" customHeight="1">
      <x:c r="A274" s="66" t="str">
        <x:f>Synthetic_Data!B274</x:f>
        <x:v>P0273</x:v>
      </x:c>
      <x:c r="B274" s="153" t="n">
        <x:f>Synthetic_Data!A274</x:f>
        <x:v>46135</x:v>
      </x:c>
      <x:c r="C274" s="159" t="n">
        <x:f>Synthetic_Data!N274</x:f>
        <x:v>151</x:v>
      </x:c>
      <x:c r="D274" s="159" t="n">
        <x:f>Synthetic_Data!J274</x:f>
        <x:v>16.9</x:v>
      </x:c>
      <x:c r="E274" s="159" t="n">
        <x:f>Synthetic_Data!G274</x:f>
        <x:v>1.7</x:v>
      </x:c>
      <x:c r="F274" s="68" t="str">
        <x:f>Synthetic_Data!F274</x:f>
        <x:v>report_collection</x:v>
      </x:c>
    </x:row>
    <x:row r="275" ht="18" customHeight="1">
      <x:c r="A275" s="66" t="str">
        <x:f>Synthetic_Data!B275</x:f>
        <x:v>P0274</x:v>
      </x:c>
      <x:c r="B275" s="153" t="n">
        <x:f>Synthetic_Data!A275</x:f>
        <x:v>46135</x:v>
      </x:c>
      <x:c r="C275" s="159" t="n">
        <x:f>Synthetic_Data!N275</x:f>
        <x:v>154.5</x:v>
      </x:c>
      <x:c r="D275" s="159" t="n">
        <x:f>Synthetic_Data!J275</x:f>
        <x:v>3.6</x:v>
      </x:c>
      <x:c r="E275" s="159" t="n">
        <x:f>Synthetic_Data!G275</x:f>
        <x:v>1.7</x:v>
      </x:c>
      <x:c r="F275" s="68" t="str">
        <x:f>Synthetic_Data!F275</x:f>
        <x:v>inquiry</x:v>
      </x:c>
    </x:row>
    <x:row r="276" ht="18" customHeight="1">
      <x:c r="A276" s="66" t="str">
        <x:f>Synthetic_Data!B276</x:f>
        <x:v>P0275</x:v>
      </x:c>
      <x:c r="B276" s="153" t="n">
        <x:f>Synthetic_Data!A276</x:f>
        <x:v>46135</x:v>
      </x:c>
      <x:c r="C276" s="159" t="n">
        <x:f>Synthetic_Data!N276</x:f>
        <x:v>155.9</x:v>
      </x:c>
      <x:c r="D276" s="159" t="n">
        <x:f>Synthetic_Data!J276</x:f>
        <x:v>1.4</x:v>
      </x:c>
      <x:c r="E276" s="159" t="n">
        <x:f>Synthetic_Data!G276</x:f>
        <x:v>2.2</x:v>
      </x:c>
      <x:c r="F276" s="68" t="str">
        <x:f>Synthetic_Data!F276</x:f>
        <x:v>inquiry</x:v>
      </x:c>
    </x:row>
    <x:row r="277" ht="18" customHeight="1">
      <x:c r="A277" s="66" t="str">
        <x:f>Synthetic_Data!B277</x:f>
        <x:v>P0276</x:v>
      </x:c>
      <x:c r="B277" s="153" t="n">
        <x:f>Synthetic_Data!A277</x:f>
        <x:v>46135</x:v>
      </x:c>
      <x:c r="C277" s="159" t="n">
        <x:f>Synthetic_Data!N277</x:f>
        <x:v>156.2</x:v>
      </x:c>
      <x:c r="D277" s="159" t="n">
        <x:f>Synthetic_Data!J277</x:f>
        <x:v>0.2</x:v>
      </x:c>
      <x:c r="E277" s="159" t="n">
        <x:f>Synthetic_Data!G277</x:f>
        <x:v>7.7</x:v>
      </x:c>
      <x:c r="F277" s="68" t="str">
        <x:f>Synthetic_Data!F277</x:f>
        <x:v>sample_submission</x:v>
      </x:c>
    </x:row>
    <x:row r="278" ht="18" customHeight="1">
      <x:c r="A278" s="66" t="str">
        <x:f>Synthetic_Data!B278</x:f>
        <x:v>P0277</x:v>
      </x:c>
      <x:c r="B278" s="153" t="n">
        <x:f>Synthetic_Data!A278</x:f>
        <x:v>46135</x:v>
      </x:c>
      <x:c r="C278" s="159" t="n">
        <x:f>Synthetic_Data!N278</x:f>
        <x:v>159</x:v>
      </x:c>
      <x:c r="D278" s="159" t="n">
        <x:f>Synthetic_Data!J278</x:f>
        <x:v>2.9</x:v>
      </x:c>
      <x:c r="E278" s="159" t="n">
        <x:f>Synthetic_Data!G278</x:f>
        <x:v>4</x:v>
      </x:c>
      <x:c r="F278" s="68" t="str">
        <x:f>Synthetic_Data!F278</x:f>
        <x:v>registration</x:v>
      </x:c>
    </x:row>
    <x:row r="279" ht="18" customHeight="1">
      <x:c r="A279" s="66" t="str">
        <x:f>Synthetic_Data!B279</x:f>
        <x:v>P0278</x:v>
      </x:c>
      <x:c r="B279" s="153" t="n">
        <x:f>Synthetic_Data!A279</x:f>
        <x:v>46135</x:v>
      </x:c>
      <x:c r="C279" s="159" t="n">
        <x:f>Synthetic_Data!N279</x:f>
        <x:v>160.6</x:v>
      </x:c>
      <x:c r="D279" s="159" t="n">
        <x:f>Synthetic_Data!J279</x:f>
        <x:v>1.5</x:v>
      </x:c>
      <x:c r="E279" s="159" t="n">
        <x:f>Synthetic_Data!G279</x:f>
        <x:v>2.7</x:v>
      </x:c>
      <x:c r="F279" s="68" t="str">
        <x:f>Synthetic_Data!F279</x:f>
        <x:v>report_collection</x:v>
      </x:c>
    </x:row>
    <x:row r="280" ht="18" customHeight="1">
      <x:c r="A280" s="66" t="str">
        <x:f>Synthetic_Data!B280</x:f>
        <x:v>P0279</x:v>
      </x:c>
      <x:c r="B280" s="153" t="n">
        <x:f>Synthetic_Data!A280</x:f>
        <x:v>46135</x:v>
      </x:c>
      <x:c r="C280" s="159" t="n">
        <x:f>Synthetic_Data!N280</x:f>
        <x:v>162.9</x:v>
      </x:c>
      <x:c r="D280" s="159" t="n">
        <x:f>Synthetic_Data!J280</x:f>
        <x:v>2.3</x:v>
      </x:c>
      <x:c r="E280" s="159" t="n">
        <x:f>Synthetic_Data!G280</x:f>
        <x:v>5.7</x:v>
      </x:c>
      <x:c r="F280" s="68" t="str">
        <x:f>Synthetic_Data!F280</x:f>
        <x:v>registration</x:v>
      </x:c>
    </x:row>
    <x:row r="281" ht="18" customHeight="1">
      <x:c r="A281" s="66" t="str">
        <x:f>Synthetic_Data!B281</x:f>
        <x:v>P0280</x:v>
      </x:c>
      <x:c r="B281" s="153" t="n">
        <x:f>Synthetic_Data!A281</x:f>
        <x:v>46135</x:v>
      </x:c>
      <x:c r="C281" s="159" t="n">
        <x:f>Synthetic_Data!N281</x:f>
        <x:v>171.5</x:v>
      </x:c>
      <x:c r="D281" s="159" t="n">
        <x:f>Synthetic_Data!J281</x:f>
        <x:v>8.6</x:v>
      </x:c>
      <x:c r="E281" s="159" t="n">
        <x:f>Synthetic_Data!G281</x:f>
        <x:v>1.8</x:v>
      </x:c>
      <x:c r="F281" s="68" t="str">
        <x:f>Synthetic_Data!F281</x:f>
        <x:v>report_collection</x:v>
      </x:c>
    </x:row>
    <x:row r="282" ht="18" customHeight="1">
      <x:c r="A282" s="66" t="str">
        <x:f>Synthetic_Data!B282</x:f>
        <x:v>P0281</x:v>
      </x:c>
      <x:c r="B282" s="153" t="n">
        <x:f>Synthetic_Data!A282</x:f>
        <x:v>46135</x:v>
      </x:c>
      <x:c r="C282" s="159" t="n">
        <x:f>Synthetic_Data!N282</x:f>
        <x:v>177.1</x:v>
      </x:c>
      <x:c r="D282" s="159" t="n">
        <x:f>Synthetic_Data!J282</x:f>
        <x:v>5.6</x:v>
      </x:c>
      <x:c r="E282" s="159" t="n">
        <x:f>Synthetic_Data!G282</x:f>
        <x:v>5.8</x:v>
      </x:c>
      <x:c r="F282" s="68" t="str">
        <x:f>Synthetic_Data!F282</x:f>
        <x:v>sample_submission</x:v>
      </x:c>
    </x:row>
    <x:row r="283" ht="18" customHeight="1">
      <x:c r="A283" s="66" t="str">
        <x:f>Synthetic_Data!B283</x:f>
        <x:v>P0282</x:v>
      </x:c>
      <x:c r="B283" s="153" t="n">
        <x:f>Synthetic_Data!A283</x:f>
        <x:v>46135</x:v>
      </x:c>
      <x:c r="C283" s="159" t="n">
        <x:f>Synthetic_Data!N283</x:f>
        <x:v>178.5</x:v>
      </x:c>
      <x:c r="D283" s="159" t="n">
        <x:f>Synthetic_Data!J283</x:f>
        <x:v>1.4</x:v>
      </x:c>
      <x:c r="E283" s="159" t="n">
        <x:f>Synthetic_Data!G283</x:f>
        <x:v>5.6</x:v>
      </x:c>
      <x:c r="F283" s="68" t="str">
        <x:f>Synthetic_Data!F283</x:f>
        <x:v>registration</x:v>
      </x:c>
    </x:row>
    <x:row r="284" ht="18" customHeight="1">
      <x:c r="A284" s="66" t="str">
        <x:f>Synthetic_Data!B284</x:f>
        <x:v>P0283</x:v>
      </x:c>
      <x:c r="B284" s="153" t="n">
        <x:f>Synthetic_Data!A284</x:f>
        <x:v>46135</x:v>
      </x:c>
      <x:c r="C284" s="159" t="n">
        <x:f>Synthetic_Data!N284</x:f>
        <x:v>182.6</x:v>
      </x:c>
      <x:c r="D284" s="159" t="n">
        <x:f>Synthetic_Data!J284</x:f>
        <x:v>4.1</x:v>
      </x:c>
      <x:c r="E284" s="159" t="n">
        <x:f>Synthetic_Data!G284</x:f>
        <x:v>5.9</x:v>
      </x:c>
      <x:c r="F284" s="68" t="str">
        <x:f>Synthetic_Data!F284</x:f>
        <x:v>sample_submission</x:v>
      </x:c>
    </x:row>
    <x:row r="285" ht="18" customHeight="1">
      <x:c r="A285" s="66" t="str">
        <x:f>Synthetic_Data!B285</x:f>
        <x:v>P0284</x:v>
      </x:c>
      <x:c r="B285" s="153" t="n">
        <x:f>Synthetic_Data!A285</x:f>
        <x:v>46135</x:v>
      </x:c>
      <x:c r="C285" s="159" t="n">
        <x:f>Synthetic_Data!N285</x:f>
        <x:v>189.6</x:v>
      </x:c>
      <x:c r="D285" s="159" t="n">
        <x:f>Synthetic_Data!J285</x:f>
        <x:v>7</x:v>
      </x:c>
      <x:c r="E285" s="159" t="n">
        <x:f>Synthetic_Data!G285</x:f>
        <x:v>5.5</x:v>
      </x:c>
      <x:c r="F285" s="68" t="str">
        <x:f>Synthetic_Data!F285</x:f>
        <x:v>registration</x:v>
      </x:c>
    </x:row>
    <x:row r="286" ht="18" customHeight="1">
      <x:c r="A286" s="66" t="str">
        <x:f>Synthetic_Data!B286</x:f>
        <x:v>P0285</x:v>
      </x:c>
      <x:c r="B286" s="153" t="n">
        <x:f>Synthetic_Data!A286</x:f>
        <x:v>46135</x:v>
      </x:c>
      <x:c r="C286" s="159" t="n">
        <x:f>Synthetic_Data!N286</x:f>
        <x:v>189.8</x:v>
      </x:c>
      <x:c r="D286" s="159" t="n">
        <x:f>Synthetic_Data!J286</x:f>
        <x:v>0.2</x:v>
      </x:c>
      <x:c r="E286" s="159" t="n">
        <x:f>Synthetic_Data!G286</x:f>
        <x:v>5.2</x:v>
      </x:c>
      <x:c r="F286" s="68" t="str">
        <x:f>Synthetic_Data!F286</x:f>
        <x:v>sample_submission</x:v>
      </x:c>
    </x:row>
    <x:row r="287" ht="18" customHeight="1">
      <x:c r="A287" s="66" t="str">
        <x:f>Synthetic_Data!B287</x:f>
        <x:v>P0286</x:v>
      </x:c>
      <x:c r="B287" s="153" t="n">
        <x:f>Synthetic_Data!A287</x:f>
        <x:v>46135</x:v>
      </x:c>
      <x:c r="C287" s="159" t="n">
        <x:f>Synthetic_Data!N287</x:f>
        <x:v>193.2</x:v>
      </x:c>
      <x:c r="D287" s="159" t="n">
        <x:f>Synthetic_Data!J287</x:f>
        <x:v>3.4</x:v>
      </x:c>
      <x:c r="E287" s="159" t="n">
        <x:f>Synthetic_Data!G287</x:f>
        <x:v>4</x:v>
      </x:c>
      <x:c r="F287" s="68" t="str">
        <x:f>Synthetic_Data!F287</x:f>
        <x:v>registration</x:v>
      </x:c>
    </x:row>
    <x:row r="288" ht="18" customHeight="1">
      <x:c r="A288" s="66" t="str">
        <x:f>Synthetic_Data!B288</x:f>
        <x:v>P0287</x:v>
      </x:c>
      <x:c r="B288" s="153" t="n">
        <x:f>Synthetic_Data!A288</x:f>
        <x:v>46135</x:v>
      </x:c>
      <x:c r="C288" s="159" t="n">
        <x:f>Synthetic_Data!N288</x:f>
        <x:v>196.7</x:v>
      </x:c>
      <x:c r="D288" s="159" t="n">
        <x:f>Synthetic_Data!J288</x:f>
        <x:v>3.5</x:v>
      </x:c>
      <x:c r="E288" s="159" t="n">
        <x:f>Synthetic_Data!G288</x:f>
        <x:v>5.1</x:v>
      </x:c>
      <x:c r="F288" s="68" t="str">
        <x:f>Synthetic_Data!F288</x:f>
        <x:v>sample_submission</x:v>
      </x:c>
    </x:row>
    <x:row r="289" ht="18" customHeight="1">
      <x:c r="A289" s="66" t="str">
        <x:f>Synthetic_Data!B289</x:f>
        <x:v>P0288</x:v>
      </x:c>
      <x:c r="B289" s="153" t="n">
        <x:f>Synthetic_Data!A289</x:f>
        <x:v>46135</x:v>
      </x:c>
      <x:c r="C289" s="159" t="n">
        <x:f>Synthetic_Data!N289</x:f>
        <x:v>205.3</x:v>
      </x:c>
      <x:c r="D289" s="159" t="n">
        <x:f>Synthetic_Data!J289</x:f>
        <x:v>8.6</x:v>
      </x:c>
      <x:c r="E289" s="159" t="n">
        <x:f>Synthetic_Data!G289</x:f>
        <x:v>3.1</x:v>
      </x:c>
      <x:c r="F289" s="68" t="str">
        <x:f>Synthetic_Data!F289</x:f>
        <x:v>report_collection</x:v>
      </x:c>
    </x:row>
    <x:row r="290" ht="18" customHeight="1">
      <x:c r="A290" s="66" t="str">
        <x:f>Synthetic_Data!B290</x:f>
        <x:v>P0289</x:v>
      </x:c>
      <x:c r="B290" s="153" t="n">
        <x:f>Synthetic_Data!A290</x:f>
        <x:v>46135</x:v>
      </x:c>
      <x:c r="C290" s="159" t="n">
        <x:f>Synthetic_Data!N290</x:f>
        <x:v>210.9</x:v>
      </x:c>
      <x:c r="D290" s="159" t="n">
        <x:f>Synthetic_Data!J290</x:f>
        <x:v>5.6</x:v>
      </x:c>
      <x:c r="E290" s="159" t="n">
        <x:f>Synthetic_Data!G290</x:f>
        <x:v>2.4</x:v>
      </x:c>
      <x:c r="F290" s="68" t="str">
        <x:f>Synthetic_Data!F290</x:f>
        <x:v>report_collection</x:v>
      </x:c>
    </x:row>
    <x:row r="291" ht="18" customHeight="1">
      <x:c r="A291" s="66" t="str">
        <x:f>Synthetic_Data!B291</x:f>
        <x:v>P0290</x:v>
      </x:c>
      <x:c r="B291" s="153" t="n">
        <x:f>Synthetic_Data!A291</x:f>
        <x:v>46135</x:v>
      </x:c>
      <x:c r="C291" s="159" t="n">
        <x:f>Synthetic_Data!N291</x:f>
        <x:v>214.7</x:v>
      </x:c>
      <x:c r="D291" s="159" t="n">
        <x:f>Synthetic_Data!J291</x:f>
        <x:v>3.8</x:v>
      </x:c>
      <x:c r="E291" s="159" t="n">
        <x:f>Synthetic_Data!G291</x:f>
        <x:v>1.2</x:v>
      </x:c>
      <x:c r="F291" s="68" t="str">
        <x:f>Synthetic_Data!F291</x:f>
        <x:v>report_collection</x:v>
      </x:c>
    </x:row>
    <x:row r="292" ht="18" customHeight="1">
      <x:c r="A292" s="66" t="str">
        <x:f>Synthetic_Data!B292</x:f>
        <x:v>P0291</x:v>
      </x:c>
      <x:c r="B292" s="153" t="n">
        <x:f>Synthetic_Data!A292</x:f>
        <x:v>46135</x:v>
      </x:c>
      <x:c r="C292" s="159" t="n">
        <x:f>Synthetic_Data!N292</x:f>
        <x:v>217.8</x:v>
      </x:c>
      <x:c r="D292" s="159" t="n">
        <x:f>Synthetic_Data!J292</x:f>
        <x:v>3.2</x:v>
      </x:c>
      <x:c r="E292" s="159" t="n">
        <x:f>Synthetic_Data!G292</x:f>
        <x:v>3.3</x:v>
      </x:c>
      <x:c r="F292" s="68" t="str">
        <x:f>Synthetic_Data!F292</x:f>
        <x:v>sample_submission</x:v>
      </x:c>
    </x:row>
    <x:row r="293" ht="18" customHeight="1">
      <x:c r="A293" s="66" t="str">
        <x:f>Synthetic_Data!B293</x:f>
        <x:v>P0292</x:v>
      </x:c>
      <x:c r="B293" s="153" t="n">
        <x:f>Synthetic_Data!A293</x:f>
        <x:v>46135</x:v>
      </x:c>
      <x:c r="C293" s="159" t="n">
        <x:f>Synthetic_Data!N293</x:f>
        <x:v>218.2</x:v>
      </x:c>
      <x:c r="D293" s="159" t="n">
        <x:f>Synthetic_Data!J293</x:f>
        <x:v>0.3</x:v>
      </x:c>
      <x:c r="E293" s="159" t="n">
        <x:f>Synthetic_Data!G293</x:f>
        <x:v>1.3</x:v>
      </x:c>
      <x:c r="F293" s="68" t="str">
        <x:f>Synthetic_Data!F293</x:f>
        <x:v>inquiry</x:v>
      </x:c>
    </x:row>
    <x:row r="294" ht="18" customHeight="1">
      <x:c r="A294" s="66" t="str">
        <x:f>Synthetic_Data!B294</x:f>
        <x:v>P0293</x:v>
      </x:c>
      <x:c r="B294" s="153" t="n">
        <x:f>Synthetic_Data!A294</x:f>
        <x:v>46135</x:v>
      </x:c>
      <x:c r="C294" s="159" t="n">
        <x:f>Synthetic_Data!N294</x:f>
        <x:v>249.9</x:v>
      </x:c>
      <x:c r="D294" s="159" t="n">
        <x:f>Synthetic_Data!J294</x:f>
        <x:v>31.8</x:v>
      </x:c>
      <x:c r="E294" s="159" t="n">
        <x:f>Synthetic_Data!G294</x:f>
        <x:v>5.8</x:v>
      </x:c>
      <x:c r="F294" s="68" t="str">
        <x:f>Synthetic_Data!F294</x:f>
        <x:v>sample_submission</x:v>
      </x:c>
    </x:row>
    <x:row r="295" ht="18" customHeight="1">
      <x:c r="A295" s="66" t="str">
        <x:f>Synthetic_Data!B295</x:f>
        <x:v>P0294</x:v>
      </x:c>
      <x:c r="B295" s="153" t="n">
        <x:f>Synthetic_Data!A295</x:f>
        <x:v>46135</x:v>
      </x:c>
      <x:c r="C295" s="159" t="n">
        <x:f>Synthetic_Data!N295</x:f>
        <x:v>264.1</x:v>
      </x:c>
      <x:c r="D295" s="159" t="n">
        <x:f>Synthetic_Data!J295</x:f>
        <x:v>14.2</x:v>
      </x:c>
      <x:c r="E295" s="159" t="n">
        <x:f>Synthetic_Data!G295</x:f>
        <x:v>2.3</x:v>
      </x:c>
      <x:c r="F295" s="68" t="str">
        <x:f>Synthetic_Data!F295</x:f>
        <x:v>report_collection</x:v>
      </x:c>
    </x:row>
    <x:row r="296" ht="18" customHeight="1">
      <x:c r="A296" s="66" t="str">
        <x:f>Synthetic_Data!B296</x:f>
        <x:v>P0295</x:v>
      </x:c>
      <x:c r="B296" s="153" t="n">
        <x:f>Synthetic_Data!A296</x:f>
        <x:v>46135</x:v>
      </x:c>
      <x:c r="C296" s="159" t="n">
        <x:f>Synthetic_Data!N296</x:f>
        <x:v>291.4</x:v>
      </x:c>
      <x:c r="D296" s="159" t="n">
        <x:f>Synthetic_Data!J296</x:f>
        <x:v>27.3</x:v>
      </x:c>
      <x:c r="E296" s="159" t="n">
        <x:f>Synthetic_Data!G296</x:f>
        <x:v>3.9</x:v>
      </x:c>
      <x:c r="F296" s="68" t="str">
        <x:f>Synthetic_Data!F296</x:f>
        <x:v>billing_payment</x:v>
      </x:c>
    </x:row>
    <x:row r="297" ht="18" customHeight="1">
      <x:c r="A297" s="66" t="str">
        <x:f>Synthetic_Data!B297</x:f>
        <x:v>P0296</x:v>
      </x:c>
      <x:c r="B297" s="153" t="n">
        <x:f>Synthetic_Data!A297</x:f>
        <x:v>46135</x:v>
      </x:c>
      <x:c r="C297" s="159" t="n">
        <x:f>Synthetic_Data!N297</x:f>
        <x:v>304.2</x:v>
      </x:c>
      <x:c r="D297" s="159" t="n">
        <x:f>Synthetic_Data!J297</x:f>
        <x:v>12.8</x:v>
      </x:c>
      <x:c r="E297" s="159" t="n">
        <x:f>Synthetic_Data!G297</x:f>
        <x:v>1.5</x:v>
      </x:c>
      <x:c r="F297" s="68" t="str">
        <x:f>Synthetic_Data!F297</x:f>
        <x:v>inquiry</x:v>
      </x:c>
    </x:row>
    <x:row r="298" ht="18" customHeight="1">
      <x:c r="A298" s="66" t="str">
        <x:f>Synthetic_Data!B298</x:f>
        <x:v>P0297</x:v>
      </x:c>
      <x:c r="B298" s="153" t="n">
        <x:f>Synthetic_Data!A298</x:f>
        <x:v>46135</x:v>
      </x:c>
      <x:c r="C298" s="159" t="n">
        <x:f>Synthetic_Data!N298</x:f>
        <x:v>324.3</x:v>
      </x:c>
      <x:c r="D298" s="159" t="n">
        <x:f>Synthetic_Data!J298</x:f>
        <x:v>20.1</x:v>
      </x:c>
      <x:c r="E298" s="159" t="n">
        <x:f>Synthetic_Data!G298</x:f>
        <x:v>1.8</x:v>
      </x:c>
      <x:c r="F298" s="68" t="str">
        <x:f>Synthetic_Data!F298</x:f>
        <x:v>report_collection</x:v>
      </x:c>
    </x:row>
    <x:row r="299" ht="18" customHeight="1">
      <x:c r="A299" s="66" t="str">
        <x:f>Synthetic_Data!B299</x:f>
        <x:v>P0298</x:v>
      </x:c>
      <x:c r="B299" s="153" t="n">
        <x:f>Synthetic_Data!A299</x:f>
        <x:v>46135</x:v>
      </x:c>
      <x:c r="C299" s="159" t="n">
        <x:f>Synthetic_Data!N299</x:f>
        <x:v>324.7</x:v>
      </x:c>
      <x:c r="D299" s="159" t="n">
        <x:f>Synthetic_Data!J299</x:f>
        <x:v>0.5</x:v>
      </x:c>
      <x:c r="E299" s="159" t="n">
        <x:f>Synthetic_Data!G299</x:f>
        <x:v>3.2</x:v>
      </x:c>
      <x:c r="F299" s="68" t="str">
        <x:f>Synthetic_Data!F299</x:f>
        <x:v>billing_payment</x:v>
      </x:c>
    </x:row>
    <x:row r="300" ht="18" customHeight="1">
      <x:c r="A300" s="66" t="str">
        <x:f>Synthetic_Data!B300</x:f>
        <x:v>P0299</x:v>
      </x:c>
      <x:c r="B300" s="153" t="n">
        <x:f>Synthetic_Data!A300</x:f>
        <x:v>46135</x:v>
      </x:c>
      <x:c r="C300" s="159" t="n">
        <x:f>Synthetic_Data!N300</x:f>
        <x:v>326.4</x:v>
      </x:c>
      <x:c r="D300" s="159" t="n">
        <x:f>Synthetic_Data!J300</x:f>
        <x:v>1.6</x:v>
      </x:c>
      <x:c r="E300" s="159" t="n">
        <x:f>Synthetic_Data!G300</x:f>
        <x:v>7.1</x:v>
      </x:c>
      <x:c r="F300" s="68" t="str">
        <x:f>Synthetic_Data!F300</x:f>
        <x:v>sample_submission</x:v>
      </x:c>
    </x:row>
    <x:row r="301" ht="18" customHeight="1">
      <x:c r="A301" s="66" t="str">
        <x:f>Synthetic_Data!B301</x:f>
        <x:v>P0300</x:v>
      </x:c>
      <x:c r="B301" s="153" t="n">
        <x:f>Synthetic_Data!A301</x:f>
        <x:v>46135</x:v>
      </x:c>
      <x:c r="C301" s="159" t="n">
        <x:f>Synthetic_Data!N301</x:f>
        <x:v>337.6</x:v>
      </x:c>
      <x:c r="D301" s="159" t="n">
        <x:f>Synthetic_Data!J301</x:f>
        <x:v>11.2</x:v>
      </x:c>
      <x:c r="E301" s="159" t="n">
        <x:f>Synthetic_Data!G301</x:f>
        <x:v>3.1</x:v>
      </x:c>
      <x:c r="F301" s="68" t="str">
        <x:f>Synthetic_Data!F301</x:f>
        <x:v>registration</x:v>
      </x:c>
    </x:row>
    <x:row r="302" ht="18" customHeight="1">
      <x:c r="A302" s="66" t="str">
        <x:f>Synthetic_Data!B302</x:f>
        <x:v>P0301</x:v>
      </x:c>
      <x:c r="B302" s="153" t="n">
        <x:f>Synthetic_Data!A302</x:f>
        <x:v>46135</x:v>
      </x:c>
      <x:c r="C302" s="159" t="n">
        <x:f>Synthetic_Data!N302</x:f>
        <x:v>338.3</x:v>
      </x:c>
      <x:c r="D302" s="159" t="n">
        <x:f>Synthetic_Data!J302</x:f>
        <x:v>0.7</x:v>
      </x:c>
      <x:c r="E302" s="159" t="n">
        <x:f>Synthetic_Data!G302</x:f>
        <x:v>4.3</x:v>
      </x:c>
      <x:c r="F302" s="68" t="str">
        <x:f>Synthetic_Data!F302</x:f>
        <x:v>sample_submission</x:v>
      </x:c>
    </x:row>
    <x:row r="303" ht="18" customHeight="1">
      <x:c r="A303" s="66" t="str">
        <x:f>Synthetic_Data!B303</x:f>
        <x:v>P0302</x:v>
      </x:c>
      <x:c r="B303" s="153" t="n">
        <x:f>Synthetic_Data!A303</x:f>
        <x:v>46135</x:v>
      </x:c>
      <x:c r="C303" s="159" t="n">
        <x:f>Synthetic_Data!N303</x:f>
        <x:v>340.6</x:v>
      </x:c>
      <x:c r="D303" s="159" t="n">
        <x:f>Synthetic_Data!J303</x:f>
        <x:v>2.3</x:v>
      </x:c>
      <x:c r="E303" s="159" t="n">
        <x:f>Synthetic_Data!G303</x:f>
        <x:v>8.4</x:v>
      </x:c>
      <x:c r="F303" s="68" t="str">
        <x:f>Synthetic_Data!F303</x:f>
        <x:v>billing_payment</x:v>
      </x:c>
    </x:row>
    <x:row r="304" ht="18" customHeight="1">
      <x:c r="A304" s="66" t="str">
        <x:f>Synthetic_Data!B304</x:f>
        <x:v>P0303</x:v>
      </x:c>
      <x:c r="B304" s="153" t="n">
        <x:f>Synthetic_Data!A304</x:f>
        <x:v>46135</x:v>
      </x:c>
      <x:c r="C304" s="159" t="n">
        <x:f>Synthetic_Data!N304</x:f>
        <x:v>342.9</x:v>
      </x:c>
      <x:c r="D304" s="159" t="n">
        <x:f>Synthetic_Data!J304</x:f>
        <x:v>2.3</x:v>
      </x:c>
      <x:c r="E304" s="159" t="n">
        <x:f>Synthetic_Data!G304</x:f>
        <x:v>7</x:v>
      </x:c>
      <x:c r="F304" s="68" t="str">
        <x:f>Synthetic_Data!F304</x:f>
        <x:v>report_collection</x:v>
      </x:c>
    </x:row>
    <x:row r="305" ht="18" customHeight="1">
      <x:c r="A305" s="66" t="str">
        <x:f>Synthetic_Data!B305</x:f>
        <x:v>P0304</x:v>
      </x:c>
      <x:c r="B305" s="153" t="n">
        <x:f>Synthetic_Data!A305</x:f>
        <x:v>46135</x:v>
      </x:c>
      <x:c r="C305" s="159" t="n">
        <x:f>Synthetic_Data!N305</x:f>
        <x:v>343.2</x:v>
      </x:c>
      <x:c r="D305" s="159" t="n">
        <x:f>Synthetic_Data!J305</x:f>
        <x:v>0.3</x:v>
      </x:c>
      <x:c r="E305" s="159" t="n">
        <x:f>Synthetic_Data!G305</x:f>
        <x:v>0.8</x:v>
      </x:c>
      <x:c r="F305" s="68" t="str">
        <x:f>Synthetic_Data!F305</x:f>
        <x:v>inquiry</x:v>
      </x:c>
    </x:row>
    <x:row r="306" ht="18" customHeight="1">
      <x:c r="A306" s="66" t="str">
        <x:f>Synthetic_Data!B306</x:f>
        <x:v>P0305</x:v>
      </x:c>
      <x:c r="B306" s="153" t="n">
        <x:f>Synthetic_Data!A306</x:f>
        <x:v>46135</x:v>
      </x:c>
      <x:c r="C306" s="159" t="n">
        <x:f>Synthetic_Data!N306</x:f>
        <x:v>343.7</x:v>
      </x:c>
      <x:c r="D306" s="159" t="n">
        <x:f>Synthetic_Data!J306</x:f>
        <x:v>0.5</x:v>
      </x:c>
      <x:c r="E306" s="159" t="n">
        <x:f>Synthetic_Data!G306</x:f>
        <x:v>8</x:v>
      </x:c>
      <x:c r="F306" s="68" t="str">
        <x:f>Synthetic_Data!F306</x:f>
        <x:v>sample_submission</x:v>
      </x:c>
    </x:row>
    <x:row r="307" ht="18" customHeight="1">
      <x:c r="A307" s="66" t="str">
        <x:f>Synthetic_Data!B307</x:f>
        <x:v>P0306</x:v>
      </x:c>
      <x:c r="B307" s="153" t="n">
        <x:f>Synthetic_Data!A307</x:f>
        <x:v>46135</x:v>
      </x:c>
      <x:c r="C307" s="159" t="n">
        <x:f>Synthetic_Data!N307</x:f>
        <x:v>347.4</x:v>
      </x:c>
      <x:c r="D307" s="159" t="n">
        <x:f>Synthetic_Data!J307</x:f>
        <x:v>3.7</x:v>
      </x:c>
      <x:c r="E307" s="159" t="n">
        <x:f>Synthetic_Data!G307</x:f>
        <x:v>6.6</x:v>
      </x:c>
      <x:c r="F307" s="68" t="str">
        <x:f>Synthetic_Data!F307</x:f>
        <x:v>registration</x:v>
      </x:c>
    </x:row>
    <x:row r="308" ht="18" customHeight="1">
      <x:c r="A308" s="66" t="str">
        <x:f>Synthetic_Data!B308</x:f>
        <x:v>P0307</x:v>
      </x:c>
      <x:c r="B308" s="153" t="n">
        <x:f>Synthetic_Data!A308</x:f>
        <x:v>46135</x:v>
      </x:c>
      <x:c r="C308" s="159" t="n">
        <x:f>Synthetic_Data!N308</x:f>
        <x:v>348.2</x:v>
      </x:c>
      <x:c r="D308" s="159" t="n">
        <x:f>Synthetic_Data!J308</x:f>
        <x:v>0.8</x:v>
      </x:c>
      <x:c r="E308" s="159" t="n">
        <x:f>Synthetic_Data!G308</x:f>
        <x:v>4.9</x:v>
      </x:c>
      <x:c r="F308" s="68" t="str">
        <x:f>Synthetic_Data!F308</x:f>
        <x:v>sample_submission</x:v>
      </x:c>
    </x:row>
    <x:row r="309" ht="18" customHeight="1">
      <x:c r="A309" s="66" t="str">
        <x:f>Synthetic_Data!B309</x:f>
        <x:v>P0308</x:v>
      </x:c>
      <x:c r="B309" s="153" t="n">
        <x:f>Synthetic_Data!A309</x:f>
        <x:v>46135</x:v>
      </x:c>
      <x:c r="C309" s="159" t="n">
        <x:f>Synthetic_Data!N309</x:f>
        <x:v>353.9</x:v>
      </x:c>
      <x:c r="D309" s="159" t="n">
        <x:f>Synthetic_Data!J309</x:f>
        <x:v>5.8</x:v>
      </x:c>
      <x:c r="E309" s="159" t="n">
        <x:f>Synthetic_Data!G309</x:f>
        <x:v>1.6</x:v>
      </x:c>
      <x:c r="F309" s="68" t="str">
        <x:f>Synthetic_Data!F309</x:f>
        <x:v>inquiry</x:v>
      </x:c>
    </x:row>
    <x:row r="310" ht="18" customHeight="1">
      <x:c r="A310" s="66" t="str">
        <x:f>Synthetic_Data!B310</x:f>
        <x:v>P0309</x:v>
      </x:c>
      <x:c r="B310" s="153" t="n">
        <x:f>Synthetic_Data!A310</x:f>
        <x:v>46135</x:v>
      </x:c>
      <x:c r="C310" s="159" t="n">
        <x:f>Synthetic_Data!N310</x:f>
        <x:v>354.6</x:v>
      </x:c>
      <x:c r="D310" s="159" t="n">
        <x:f>Synthetic_Data!J310</x:f>
        <x:v>0.6</x:v>
      </x:c>
      <x:c r="E310" s="159" t="n">
        <x:f>Synthetic_Data!G310</x:f>
        <x:v>6.6</x:v>
      </x:c>
      <x:c r="F310" s="68" t="str">
        <x:f>Synthetic_Data!F310</x:f>
        <x:v>report_collection</x:v>
      </x:c>
    </x:row>
    <x:row r="311" ht="18" customHeight="1">
      <x:c r="A311" s="66" t="str">
        <x:f>Synthetic_Data!B311</x:f>
        <x:v>P0310</x:v>
      </x:c>
      <x:c r="B311" s="153" t="n">
        <x:f>Synthetic_Data!A311</x:f>
        <x:v>46135</x:v>
      </x:c>
      <x:c r="C311" s="159" t="n">
        <x:f>Synthetic_Data!N311</x:f>
        <x:v>358.4</x:v>
      </x:c>
      <x:c r="D311" s="159" t="n">
        <x:f>Synthetic_Data!J311</x:f>
        <x:v>3.8</x:v>
      </x:c>
      <x:c r="E311" s="159" t="n">
        <x:f>Synthetic_Data!G311</x:f>
        <x:v>5</x:v>
      </x:c>
      <x:c r="F311" s="68" t="str">
        <x:f>Synthetic_Data!F311</x:f>
        <x:v>sample_submission</x:v>
      </x:c>
    </x:row>
    <x:row r="312" ht="18" customHeight="1">
      <x:c r="A312" s="66" t="str">
        <x:f>Synthetic_Data!B312</x:f>
        <x:v>P0311</x:v>
      </x:c>
      <x:c r="B312" s="153" t="n">
        <x:f>Synthetic_Data!A312</x:f>
        <x:v>46135</x:v>
      </x:c>
      <x:c r="C312" s="159" t="n">
        <x:f>Synthetic_Data!N312</x:f>
        <x:v>366.2</x:v>
      </x:c>
      <x:c r="D312" s="159" t="n">
        <x:f>Synthetic_Data!J312</x:f>
        <x:v>7.9</x:v>
      </x:c>
      <x:c r="E312" s="159" t="n">
        <x:f>Synthetic_Data!G312</x:f>
        <x:v>2.2</x:v>
      </x:c>
      <x:c r="F312" s="68" t="str">
        <x:f>Synthetic_Data!F312</x:f>
        <x:v>appointment_booking</x:v>
      </x:c>
    </x:row>
    <x:row r="313" ht="18" customHeight="1">
      <x:c r="A313" s="66" t="str">
        <x:f>Synthetic_Data!B313</x:f>
        <x:v>P0312</x:v>
      </x:c>
      <x:c r="B313" s="153" t="n">
        <x:f>Synthetic_Data!A313</x:f>
        <x:v>46135</x:v>
      </x:c>
      <x:c r="C313" s="159" t="n">
        <x:f>Synthetic_Data!N313</x:f>
        <x:v>374.6</x:v>
      </x:c>
      <x:c r="D313" s="159" t="n">
        <x:f>Synthetic_Data!J313</x:f>
        <x:v>8.4</x:v>
      </x:c>
      <x:c r="E313" s="159" t="n">
        <x:f>Synthetic_Data!G313</x:f>
        <x:v>4.5</x:v>
      </x:c>
      <x:c r="F313" s="68" t="str">
        <x:f>Synthetic_Data!F313</x:f>
        <x:v>sample_submission</x:v>
      </x:c>
    </x:row>
    <x:row r="314" ht="18" customHeight="1">
      <x:c r="A314" s="66" t="str">
        <x:f>Synthetic_Data!B314</x:f>
        <x:v>P0313</x:v>
      </x:c>
      <x:c r="B314" s="153" t="n">
        <x:f>Synthetic_Data!A314</x:f>
        <x:v>46135</x:v>
      </x:c>
      <x:c r="C314" s="159" t="n">
        <x:f>Synthetic_Data!N314</x:f>
        <x:v>385.2</x:v>
      </x:c>
      <x:c r="D314" s="159" t="n">
        <x:f>Synthetic_Data!J314</x:f>
        <x:v>10.6</x:v>
      </x:c>
      <x:c r="E314" s="159" t="n">
        <x:f>Synthetic_Data!G314</x:f>
        <x:v>5.5</x:v>
      </x:c>
      <x:c r="F314" s="68" t="str">
        <x:f>Synthetic_Data!F314</x:f>
        <x:v>registration</x:v>
      </x:c>
    </x:row>
    <x:row r="315" ht="18" customHeight="1">
      <x:c r="A315" s="66" t="str">
        <x:f>Synthetic_Data!B315</x:f>
        <x:v>P0314</x:v>
      </x:c>
      <x:c r="B315" s="153" t="n">
        <x:f>Synthetic_Data!A315</x:f>
        <x:v>46135</x:v>
      </x:c>
      <x:c r="C315" s="159" t="n">
        <x:f>Synthetic_Data!N315</x:f>
        <x:v>388.1</x:v>
      </x:c>
      <x:c r="D315" s="159" t="n">
        <x:f>Synthetic_Data!J315</x:f>
        <x:v>2.9</x:v>
      </x:c>
      <x:c r="E315" s="159" t="n">
        <x:f>Synthetic_Data!G315</x:f>
        <x:v>9.3</x:v>
      </x:c>
      <x:c r="F315" s="68" t="str">
        <x:f>Synthetic_Data!F315</x:f>
        <x:v>registration</x:v>
      </x:c>
    </x:row>
    <x:row r="316" ht="18" customHeight="1">
      <x:c r="A316" s="66" t="str">
        <x:f>Synthetic_Data!B316</x:f>
        <x:v>P0315</x:v>
      </x:c>
      <x:c r="B316" s="153" t="n">
        <x:f>Synthetic_Data!A316</x:f>
        <x:v>46135</x:v>
      </x:c>
      <x:c r="C316" s="159" t="n">
        <x:f>Synthetic_Data!N316</x:f>
        <x:v>401</x:v>
      </x:c>
      <x:c r="D316" s="159" t="n">
        <x:f>Synthetic_Data!J316</x:f>
        <x:v>12.9</x:v>
      </x:c>
      <x:c r="E316" s="159" t="n">
        <x:f>Synthetic_Data!G316</x:f>
        <x:v>2.3</x:v>
      </x:c>
      <x:c r="F316" s="68" t="str">
        <x:f>Synthetic_Data!F316</x:f>
        <x:v>inquiry</x:v>
      </x:c>
    </x:row>
    <x:row r="317" ht="18" customHeight="1">
      <x:c r="A317" s="66" t="str">
        <x:f>Synthetic_Data!B317</x:f>
        <x:v>P0316</x:v>
      </x:c>
      <x:c r="B317" s="153" t="n">
        <x:f>Synthetic_Data!A317</x:f>
        <x:v>46135</x:v>
      </x:c>
      <x:c r="C317" s="159" t="n">
        <x:f>Synthetic_Data!N317</x:f>
        <x:v>410.8</x:v>
      </x:c>
      <x:c r="D317" s="159" t="n">
        <x:f>Synthetic_Data!J317</x:f>
        <x:v>9.8</x:v>
      </x:c>
      <x:c r="E317" s="159" t="n">
        <x:f>Synthetic_Data!G317</x:f>
        <x:v>3.8</x:v>
      </x:c>
      <x:c r="F317" s="68" t="str">
        <x:f>Synthetic_Data!F317</x:f>
        <x:v>registration</x:v>
      </x:c>
    </x:row>
    <x:row r="318" ht="18" customHeight="1">
      <x:c r="A318" s="66" t="str">
        <x:f>Synthetic_Data!B318</x:f>
        <x:v>P0317</x:v>
      </x:c>
      <x:c r="B318" s="153" t="n">
        <x:f>Synthetic_Data!A318</x:f>
        <x:v>46135</x:v>
      </x:c>
      <x:c r="C318" s="159" t="n">
        <x:f>Synthetic_Data!N318</x:f>
        <x:v>421.4</x:v>
      </x:c>
      <x:c r="D318" s="159" t="n">
        <x:f>Synthetic_Data!J318</x:f>
        <x:v>10.7</x:v>
      </x:c>
      <x:c r="E318" s="159" t="n">
        <x:f>Synthetic_Data!G318</x:f>
        <x:v>4.3</x:v>
      </x:c>
      <x:c r="F318" s="68" t="str">
        <x:f>Synthetic_Data!F318</x:f>
        <x:v>sample_submission</x:v>
      </x:c>
    </x:row>
    <x:row r="319" ht="18" customHeight="1">
      <x:c r="A319" s="66" t="str">
        <x:f>Synthetic_Data!B319</x:f>
        <x:v>P0318</x:v>
      </x:c>
      <x:c r="B319" s="153" t="n">
        <x:f>Synthetic_Data!A319</x:f>
        <x:v>46135</x:v>
      </x:c>
      <x:c r="C319" s="159" t="n">
        <x:f>Synthetic_Data!N319</x:f>
        <x:v>434.9</x:v>
      </x:c>
      <x:c r="D319" s="159" t="n">
        <x:f>Synthetic_Data!J319</x:f>
        <x:v>13.5</x:v>
      </x:c>
      <x:c r="E319" s="159" t="n">
        <x:f>Synthetic_Data!G319</x:f>
        <x:v>5.1</x:v>
      </x:c>
      <x:c r="F319" s="68" t="str">
        <x:f>Synthetic_Data!F319</x:f>
        <x:v>sample_submission</x:v>
      </x:c>
    </x:row>
    <x:row r="320" ht="18" customHeight="1">
      <x:c r="A320" s="66" t="str">
        <x:f>Synthetic_Data!B320</x:f>
        <x:v>P0319</x:v>
      </x:c>
      <x:c r="B320" s="153" t="n">
        <x:f>Synthetic_Data!A320</x:f>
        <x:v>46135</x:v>
      </x:c>
      <x:c r="C320" s="159" t="n">
        <x:f>Synthetic_Data!N320</x:f>
        <x:v>440.1</x:v>
      </x:c>
      <x:c r="D320" s="159" t="n">
        <x:f>Synthetic_Data!J320</x:f>
        <x:v>5.2</x:v>
      </x:c>
      <x:c r="E320" s="159" t="n">
        <x:f>Synthetic_Data!G320</x:f>
        <x:v>5.3</x:v>
      </x:c>
      <x:c r="F320" s="68" t="str">
        <x:f>Synthetic_Data!F320</x:f>
        <x:v>registration</x:v>
      </x:c>
    </x:row>
    <x:row r="321" ht="18" customHeight="1">
      <x:c r="A321" s="66" t="str">
        <x:f>Synthetic_Data!B321</x:f>
        <x:v>P0320</x:v>
      </x:c>
      <x:c r="B321" s="153" t="n">
        <x:f>Synthetic_Data!A321</x:f>
        <x:v>46135</x:v>
      </x:c>
      <x:c r="C321" s="159" t="n">
        <x:f>Synthetic_Data!N321</x:f>
        <x:v>475.4</x:v>
      </x:c>
      <x:c r="D321" s="159" t="n">
        <x:f>Synthetic_Data!J321</x:f>
        <x:v>35.3</x:v>
      </x:c>
      <x:c r="E321" s="159" t="n">
        <x:f>Synthetic_Data!G321</x:f>
        <x:v>5</x:v>
      </x:c>
      <x:c r="F321" s="68" t="str">
        <x:f>Synthetic_Data!F321</x:f>
        <x:v>sample_submission</x:v>
      </x:c>
    </x:row>
    <x:row r="322" ht="18" customHeight="1">
      <x:c r="A322" s="66" t="str">
        <x:f>Synthetic_Data!B322</x:f>
        <x:v>P0321</x:v>
      </x:c>
      <x:c r="B322" s="153" t="n">
        <x:f>Synthetic_Data!A322</x:f>
        <x:v>46136</x:v>
      </x:c>
      <x:c r="C322" s="159" t="n">
        <x:f>Synthetic_Data!N322</x:f>
        <x:v>0.5</x:v>
      </x:c>
      <x:c r="D322" s="159" t="n">
        <x:f>Synthetic_Data!J322</x:f>
        <x:v>0</x:v>
      </x:c>
      <x:c r="E322" s="159" t="n">
        <x:f>Synthetic_Data!G322</x:f>
        <x:v>3.3</x:v>
      </x:c>
      <x:c r="F322" s="68" t="str">
        <x:f>Synthetic_Data!F322</x:f>
        <x:v>billing_payment</x:v>
      </x:c>
    </x:row>
    <x:row r="323" ht="18" customHeight="1">
      <x:c r="A323" s="66" t="str">
        <x:f>Synthetic_Data!B323</x:f>
        <x:v>P0322</x:v>
      </x:c>
      <x:c r="B323" s="153" t="n">
        <x:f>Synthetic_Data!A323</x:f>
        <x:v>46136</x:v>
      </x:c>
      <x:c r="C323" s="159" t="n">
        <x:f>Synthetic_Data!N323</x:f>
        <x:v>14</x:v>
      </x:c>
      <x:c r="D323" s="159" t="n">
        <x:f>Synthetic_Data!J323</x:f>
        <x:v>13.4</x:v>
      </x:c>
      <x:c r="E323" s="159" t="n">
        <x:f>Synthetic_Data!G323</x:f>
        <x:v>6.4</x:v>
      </x:c>
      <x:c r="F323" s="68" t="str">
        <x:f>Synthetic_Data!F323</x:f>
        <x:v>registration</x:v>
      </x:c>
    </x:row>
    <x:row r="324" ht="18" customHeight="1">
      <x:c r="A324" s="66" t="str">
        <x:f>Synthetic_Data!B324</x:f>
        <x:v>P0323</x:v>
      </x:c>
      <x:c r="B324" s="153" t="n">
        <x:f>Synthetic_Data!A324</x:f>
        <x:v>46136</x:v>
      </x:c>
      <x:c r="C324" s="159" t="n">
        <x:f>Synthetic_Data!N324</x:f>
        <x:v>17.3</x:v>
      </x:c>
      <x:c r="D324" s="159" t="n">
        <x:f>Synthetic_Data!J324</x:f>
        <x:v>3.3</x:v>
      </x:c>
      <x:c r="E324" s="159" t="n">
        <x:f>Synthetic_Data!G324</x:f>
        <x:v>2.7</x:v>
      </x:c>
      <x:c r="F324" s="68" t="str">
        <x:f>Synthetic_Data!F324</x:f>
        <x:v>report_collection</x:v>
      </x:c>
    </x:row>
    <x:row r="325" ht="18" customHeight="1">
      <x:c r="A325" s="66" t="str">
        <x:f>Synthetic_Data!B325</x:f>
        <x:v>P0324</x:v>
      </x:c>
      <x:c r="B325" s="153" t="n">
        <x:f>Synthetic_Data!A325</x:f>
        <x:v>46136</x:v>
      </x:c>
      <x:c r="C325" s="159" t="n">
        <x:f>Synthetic_Data!N325</x:f>
        <x:v>18.4</x:v>
      </x:c>
      <x:c r="D325" s="159" t="n">
        <x:f>Synthetic_Data!J325</x:f>
        <x:v>1</x:v>
      </x:c>
      <x:c r="E325" s="159" t="n">
        <x:f>Synthetic_Data!G325</x:f>
        <x:v>1.9</x:v>
      </x:c>
      <x:c r="F325" s="68" t="str">
        <x:f>Synthetic_Data!F325</x:f>
        <x:v>report_collection</x:v>
      </x:c>
    </x:row>
    <x:row r="326" ht="18" customHeight="1">
      <x:c r="A326" s="66" t="str">
        <x:f>Synthetic_Data!B326</x:f>
        <x:v>P0325</x:v>
      </x:c>
      <x:c r="B326" s="153" t="n">
        <x:f>Synthetic_Data!A326</x:f>
        <x:v>46136</x:v>
      </x:c>
      <x:c r="C326" s="159" t="n">
        <x:f>Synthetic_Data!N326</x:f>
        <x:v>18.8</x:v>
      </x:c>
      <x:c r="D326" s="159" t="n">
        <x:f>Synthetic_Data!J326</x:f>
        <x:v>0.4</x:v>
      </x:c>
      <x:c r="E326" s="159" t="n">
        <x:f>Synthetic_Data!G326</x:f>
        <x:v>1.9</x:v>
      </x:c>
      <x:c r="F326" s="68" t="str">
        <x:f>Synthetic_Data!F326</x:f>
        <x:v>report_collection</x:v>
      </x:c>
    </x:row>
    <x:row r="327" ht="18" customHeight="1">
      <x:c r="A327" s="66" t="str">
        <x:f>Synthetic_Data!B327</x:f>
        <x:v>P0326</x:v>
      </x:c>
      <x:c r="B327" s="153" t="n">
        <x:f>Synthetic_Data!A327</x:f>
        <x:v>46136</x:v>
      </x:c>
      <x:c r="C327" s="159" t="n">
        <x:f>Synthetic_Data!N327</x:f>
        <x:v>22.2</x:v>
      </x:c>
      <x:c r="D327" s="159" t="n">
        <x:f>Synthetic_Data!J327</x:f>
        <x:v>3.5</x:v>
      </x:c>
      <x:c r="E327" s="159" t="n">
        <x:f>Synthetic_Data!G327</x:f>
        <x:v>4.5</x:v>
      </x:c>
      <x:c r="F327" s="68" t="str">
        <x:f>Synthetic_Data!F327</x:f>
        <x:v>registration</x:v>
      </x:c>
    </x:row>
    <x:row r="328" ht="18" customHeight="1">
      <x:c r="A328" s="66" t="str">
        <x:f>Synthetic_Data!B328</x:f>
        <x:v>P0327</x:v>
      </x:c>
      <x:c r="B328" s="153" t="n">
        <x:f>Synthetic_Data!A328</x:f>
        <x:v>46136</x:v>
      </x:c>
      <x:c r="C328" s="159" t="n">
        <x:f>Synthetic_Data!N328</x:f>
        <x:v>28.9</x:v>
      </x:c>
      <x:c r="D328" s="159" t="n">
        <x:f>Synthetic_Data!J328</x:f>
        <x:v>6.7</x:v>
      </x:c>
      <x:c r="E328" s="159" t="n">
        <x:f>Synthetic_Data!G328</x:f>
        <x:v>5.2</x:v>
      </x:c>
      <x:c r="F328" s="68" t="str">
        <x:f>Synthetic_Data!F328</x:f>
        <x:v>sample_submission</x:v>
      </x:c>
    </x:row>
    <x:row r="329" ht="18" customHeight="1">
      <x:c r="A329" s="66" t="str">
        <x:f>Synthetic_Data!B329</x:f>
        <x:v>P0328</x:v>
      </x:c>
      <x:c r="B329" s="153" t="n">
        <x:f>Synthetic_Data!A329</x:f>
        <x:v>46136</x:v>
      </x:c>
      <x:c r="C329" s="159" t="n">
        <x:f>Synthetic_Data!N329</x:f>
        <x:v>44.9</x:v>
      </x:c>
      <x:c r="D329" s="159" t="n">
        <x:f>Synthetic_Data!J329</x:f>
        <x:v>16</x:v>
      </x:c>
      <x:c r="E329" s="159" t="n">
        <x:f>Synthetic_Data!G329</x:f>
        <x:v>5.1</x:v>
      </x:c>
      <x:c r="F329" s="68" t="str">
        <x:f>Synthetic_Data!F329</x:f>
        <x:v>billing_payment</x:v>
      </x:c>
    </x:row>
    <x:row r="330" ht="18" customHeight="1">
      <x:c r="A330" s="66" t="str">
        <x:f>Synthetic_Data!B330</x:f>
        <x:v>P0329</x:v>
      </x:c>
      <x:c r="B330" s="153" t="n">
        <x:f>Synthetic_Data!A330</x:f>
        <x:v>46136</x:v>
      </x:c>
      <x:c r="C330" s="159" t="n">
        <x:f>Synthetic_Data!N330</x:f>
        <x:v>46.4</x:v>
      </x:c>
      <x:c r="D330" s="159" t="n">
        <x:f>Synthetic_Data!J330</x:f>
        <x:v>1.5</x:v>
      </x:c>
      <x:c r="E330" s="159" t="n">
        <x:f>Synthetic_Data!G330</x:f>
        <x:v>6.3</x:v>
      </x:c>
      <x:c r="F330" s="68" t="str">
        <x:f>Synthetic_Data!F330</x:f>
        <x:v>registration</x:v>
      </x:c>
    </x:row>
    <x:row r="331" ht="18" customHeight="1">
      <x:c r="A331" s="66" t="str">
        <x:f>Synthetic_Data!B331</x:f>
        <x:v>P0330</x:v>
      </x:c>
      <x:c r="B331" s="153" t="n">
        <x:f>Synthetic_Data!A331</x:f>
        <x:v>46136</x:v>
      </x:c>
      <x:c r="C331" s="159" t="n">
        <x:f>Synthetic_Data!N331</x:f>
        <x:v>47.2</x:v>
      </x:c>
      <x:c r="D331" s="159" t="n">
        <x:f>Synthetic_Data!J331</x:f>
        <x:v>0.8</x:v>
      </x:c>
      <x:c r="E331" s="159" t="n">
        <x:f>Synthetic_Data!G331</x:f>
        <x:v>2.9</x:v>
      </x:c>
      <x:c r="F331" s="68" t="str">
        <x:f>Synthetic_Data!F331</x:f>
        <x:v>report_collection</x:v>
      </x:c>
    </x:row>
    <x:row r="332" ht="18" customHeight="1">
      <x:c r="A332" s="66" t="str">
        <x:f>Synthetic_Data!B332</x:f>
        <x:v>P0331</x:v>
      </x:c>
      <x:c r="B332" s="153" t="n">
        <x:f>Synthetic_Data!A332</x:f>
        <x:v>46136</x:v>
      </x:c>
      <x:c r="C332" s="159" t="n">
        <x:f>Synthetic_Data!N332</x:f>
        <x:v>47.9</x:v>
      </x:c>
      <x:c r="D332" s="159" t="n">
        <x:f>Synthetic_Data!J332</x:f>
        <x:v>0.6</x:v>
      </x:c>
      <x:c r="E332" s="159" t="n">
        <x:f>Synthetic_Data!G332</x:f>
        <x:v>1.6</x:v>
      </x:c>
      <x:c r="F332" s="68" t="str">
        <x:f>Synthetic_Data!F332</x:f>
        <x:v>report_collection</x:v>
      </x:c>
    </x:row>
    <x:row r="333" ht="18" customHeight="1">
      <x:c r="A333" s="66" t="str">
        <x:f>Synthetic_Data!B333</x:f>
        <x:v>P0332</x:v>
      </x:c>
      <x:c r="B333" s="153" t="n">
        <x:f>Synthetic_Data!A333</x:f>
        <x:v>46136</x:v>
      </x:c>
      <x:c r="C333" s="159" t="n">
        <x:f>Synthetic_Data!N333</x:f>
        <x:v>48.3</x:v>
      </x:c>
      <x:c r="D333" s="159" t="n">
        <x:f>Synthetic_Data!J333</x:f>
        <x:v>0.4</x:v>
      </x:c>
      <x:c r="E333" s="159" t="n">
        <x:f>Synthetic_Data!G333</x:f>
        <x:v>4.8</x:v>
      </x:c>
      <x:c r="F333" s="68" t="str">
        <x:f>Synthetic_Data!F333</x:f>
        <x:v>billing_payment</x:v>
      </x:c>
    </x:row>
    <x:row r="334" ht="18" customHeight="1">
      <x:c r="A334" s="66" t="str">
        <x:f>Synthetic_Data!B334</x:f>
        <x:v>P0333</x:v>
      </x:c>
      <x:c r="B334" s="153" t="n">
        <x:f>Synthetic_Data!A334</x:f>
        <x:v>46136</x:v>
      </x:c>
      <x:c r="C334" s="159" t="n">
        <x:f>Synthetic_Data!N334</x:f>
        <x:v>52.5</x:v>
      </x:c>
      <x:c r="D334" s="159" t="n">
        <x:f>Synthetic_Data!J334</x:f>
        <x:v>4.2</x:v>
      </x:c>
      <x:c r="E334" s="159" t="n">
        <x:f>Synthetic_Data!G334</x:f>
        <x:v>5.3</x:v>
      </x:c>
      <x:c r="F334" s="68" t="str">
        <x:f>Synthetic_Data!F334</x:f>
        <x:v>registration</x:v>
      </x:c>
    </x:row>
    <x:row r="335" ht="18" customHeight="1">
      <x:c r="A335" s="66" t="str">
        <x:f>Synthetic_Data!B335</x:f>
        <x:v>P0334</x:v>
      </x:c>
      <x:c r="B335" s="153" t="n">
        <x:f>Synthetic_Data!A335</x:f>
        <x:v>46136</x:v>
      </x:c>
      <x:c r="C335" s="159" t="n">
        <x:f>Synthetic_Data!N335</x:f>
        <x:v>56.3</x:v>
      </x:c>
      <x:c r="D335" s="159" t="n">
        <x:f>Synthetic_Data!J335</x:f>
        <x:v>3.8</x:v>
      </x:c>
      <x:c r="E335" s="159" t="n">
        <x:f>Synthetic_Data!G335</x:f>
        <x:v>1.5</x:v>
      </x:c>
      <x:c r="F335" s="68" t="str">
        <x:f>Synthetic_Data!F335</x:f>
        <x:v>report_collection</x:v>
      </x:c>
    </x:row>
    <x:row r="336" ht="18" customHeight="1">
      <x:c r="A336" s="66" t="str">
        <x:f>Synthetic_Data!B336</x:f>
        <x:v>P0335</x:v>
      </x:c>
      <x:c r="B336" s="153" t="n">
        <x:f>Synthetic_Data!A336</x:f>
        <x:v>46136</x:v>
      </x:c>
      <x:c r="C336" s="159" t="n">
        <x:f>Synthetic_Data!N336</x:f>
        <x:v>57.3</x:v>
      </x:c>
      <x:c r="D336" s="159" t="n">
        <x:f>Synthetic_Data!J336</x:f>
        <x:v>1</x:v>
      </x:c>
      <x:c r="E336" s="159" t="n">
        <x:f>Synthetic_Data!G336</x:f>
        <x:v>0.7</x:v>
      </x:c>
      <x:c r="F336" s="68" t="str">
        <x:f>Synthetic_Data!F336</x:f>
        <x:v>inquiry</x:v>
      </x:c>
    </x:row>
    <x:row r="337" ht="18" customHeight="1">
      <x:c r="A337" s="66" t="str">
        <x:f>Synthetic_Data!B337</x:f>
        <x:v>P0336</x:v>
      </x:c>
      <x:c r="B337" s="153" t="n">
        <x:f>Synthetic_Data!A337</x:f>
        <x:v>46136</x:v>
      </x:c>
      <x:c r="C337" s="159" t="n">
        <x:f>Synthetic_Data!N337</x:f>
        <x:v>61.8</x:v>
      </x:c>
      <x:c r="D337" s="159" t="n">
        <x:f>Synthetic_Data!J337</x:f>
        <x:v>4.5</x:v>
      </x:c>
      <x:c r="E337" s="159" t="n">
        <x:f>Synthetic_Data!G337</x:f>
        <x:v>5.4</x:v>
      </x:c>
      <x:c r="F337" s="68" t="str">
        <x:f>Synthetic_Data!F337</x:f>
        <x:v>appointment_booking</x:v>
      </x:c>
    </x:row>
    <x:row r="338" ht="18" customHeight="1">
      <x:c r="A338" s="66" t="str">
        <x:f>Synthetic_Data!B338</x:f>
        <x:v>P0337</x:v>
      </x:c>
      <x:c r="B338" s="153" t="n">
        <x:f>Synthetic_Data!A338</x:f>
        <x:v>46136</x:v>
      </x:c>
      <x:c r="C338" s="159" t="n">
        <x:f>Synthetic_Data!N338</x:f>
        <x:v>64.6</x:v>
      </x:c>
      <x:c r="D338" s="159" t="n">
        <x:f>Synthetic_Data!J338</x:f>
        <x:v>2.8</x:v>
      </x:c>
      <x:c r="E338" s="159" t="n">
        <x:f>Synthetic_Data!G338</x:f>
        <x:v>5.1</x:v>
      </x:c>
      <x:c r="F338" s="68" t="str">
        <x:f>Synthetic_Data!F338</x:f>
        <x:v>sample_submission</x:v>
      </x:c>
    </x:row>
    <x:row r="339" ht="18" customHeight="1">
      <x:c r="A339" s="66" t="str">
        <x:f>Synthetic_Data!B339</x:f>
        <x:v>P0338</x:v>
      </x:c>
      <x:c r="B339" s="153" t="n">
        <x:f>Synthetic_Data!A339</x:f>
        <x:v>46136</x:v>
      </x:c>
      <x:c r="C339" s="159" t="n">
        <x:f>Synthetic_Data!N339</x:f>
        <x:v>75.1</x:v>
      </x:c>
      <x:c r="D339" s="159" t="n">
        <x:f>Synthetic_Data!J339</x:f>
        <x:v>10.5</x:v>
      </x:c>
      <x:c r="E339" s="159" t="n">
        <x:f>Synthetic_Data!G339</x:f>
        <x:v>5.1</x:v>
      </x:c>
      <x:c r="F339" s="68" t="str">
        <x:f>Synthetic_Data!F339</x:f>
        <x:v>sample_submission</x:v>
      </x:c>
    </x:row>
    <x:row r="340" ht="18" customHeight="1">
      <x:c r="A340" s="66" t="str">
        <x:f>Synthetic_Data!B340</x:f>
        <x:v>P0339</x:v>
      </x:c>
      <x:c r="B340" s="153" t="n">
        <x:f>Synthetic_Data!A340</x:f>
        <x:v>46136</x:v>
      </x:c>
      <x:c r="C340" s="159" t="n">
        <x:f>Synthetic_Data!N340</x:f>
        <x:v>76.9</x:v>
      </x:c>
      <x:c r="D340" s="159" t="n">
        <x:f>Synthetic_Data!J340</x:f>
        <x:v>1.8</x:v>
      </x:c>
      <x:c r="E340" s="159" t="n">
        <x:f>Synthetic_Data!G340</x:f>
        <x:v>4.4</x:v>
      </x:c>
      <x:c r="F340" s="68" t="str">
        <x:f>Synthetic_Data!F340</x:f>
        <x:v>sample_submission</x:v>
      </x:c>
    </x:row>
    <x:row r="341" ht="18" customHeight="1">
      <x:c r="A341" s="66" t="str">
        <x:f>Synthetic_Data!B341</x:f>
        <x:v>P0340</x:v>
      </x:c>
      <x:c r="B341" s="153" t="n">
        <x:f>Synthetic_Data!A341</x:f>
        <x:v>46136</x:v>
      </x:c>
      <x:c r="C341" s="159" t="n">
        <x:f>Synthetic_Data!N341</x:f>
        <x:v>83.8</x:v>
      </x:c>
      <x:c r="D341" s="159" t="n">
        <x:f>Synthetic_Data!J341</x:f>
        <x:v>6.8</x:v>
      </x:c>
      <x:c r="E341" s="159" t="n">
        <x:f>Synthetic_Data!G341</x:f>
        <x:v>9.5</x:v>
      </x:c>
      <x:c r="F341" s="68" t="str">
        <x:f>Synthetic_Data!F341</x:f>
        <x:v>registration</x:v>
      </x:c>
    </x:row>
    <x:row r="342" ht="18" customHeight="1">
      <x:c r="A342" s="66" t="str">
        <x:f>Synthetic_Data!B342</x:f>
        <x:v>P0341</x:v>
      </x:c>
      <x:c r="B342" s="153" t="n">
        <x:f>Synthetic_Data!A342</x:f>
        <x:v>46136</x:v>
      </x:c>
      <x:c r="C342" s="159" t="n">
        <x:f>Synthetic_Data!N342</x:f>
        <x:v>92</x:v>
      </x:c>
      <x:c r="D342" s="159" t="n">
        <x:f>Synthetic_Data!J342</x:f>
        <x:v>8.2</x:v>
      </x:c>
      <x:c r="E342" s="159" t="n">
        <x:f>Synthetic_Data!G342</x:f>
        <x:v>3.4</x:v>
      </x:c>
      <x:c r="F342" s="68" t="str">
        <x:f>Synthetic_Data!F342</x:f>
        <x:v>registration</x:v>
      </x:c>
    </x:row>
    <x:row r="343" ht="18" customHeight="1">
      <x:c r="A343" s="66" t="str">
        <x:f>Synthetic_Data!B343</x:f>
        <x:v>P0342</x:v>
      </x:c>
      <x:c r="B343" s="153" t="n">
        <x:f>Synthetic_Data!A343</x:f>
        <x:v>46136</x:v>
      </x:c>
      <x:c r="C343" s="159" t="n">
        <x:f>Synthetic_Data!N343</x:f>
        <x:v>95</x:v>
      </x:c>
      <x:c r="D343" s="159" t="n">
        <x:f>Synthetic_Data!J343</x:f>
        <x:v>3</x:v>
      </x:c>
      <x:c r="E343" s="159" t="n">
        <x:f>Synthetic_Data!G343</x:f>
        <x:v>1.7</x:v>
      </x:c>
      <x:c r="F343" s="68" t="str">
        <x:f>Synthetic_Data!F343</x:f>
        <x:v>inquiry</x:v>
      </x:c>
    </x:row>
    <x:row r="344" ht="18" customHeight="1">
      <x:c r="A344" s="66" t="str">
        <x:f>Synthetic_Data!B344</x:f>
        <x:v>P0343</x:v>
      </x:c>
      <x:c r="B344" s="153" t="n">
        <x:f>Synthetic_Data!A344</x:f>
        <x:v>46136</x:v>
      </x:c>
      <x:c r="C344" s="159" t="n">
        <x:f>Synthetic_Data!N344</x:f>
        <x:v>97.2</x:v>
      </x:c>
      <x:c r="D344" s="159" t="n">
        <x:f>Synthetic_Data!J344</x:f>
        <x:v>2.2</x:v>
      </x:c>
      <x:c r="E344" s="159" t="n">
        <x:f>Synthetic_Data!G344</x:f>
        <x:v>3</x:v>
      </x:c>
      <x:c r="F344" s="68" t="str">
        <x:f>Synthetic_Data!F344</x:f>
        <x:v>billing_payment</x:v>
      </x:c>
    </x:row>
    <x:row r="345" ht="18" customHeight="1">
      <x:c r="A345" s="66" t="str">
        <x:f>Synthetic_Data!B345</x:f>
        <x:v>P0344</x:v>
      </x:c>
      <x:c r="B345" s="153" t="n">
        <x:f>Synthetic_Data!A345</x:f>
        <x:v>46136</x:v>
      </x:c>
      <x:c r="C345" s="159" t="n">
        <x:f>Synthetic_Data!N345</x:f>
        <x:v>97.5</x:v>
      </x:c>
      <x:c r="D345" s="159" t="n">
        <x:f>Synthetic_Data!J345</x:f>
        <x:v>0.3</x:v>
      </x:c>
      <x:c r="E345" s="159" t="n">
        <x:f>Synthetic_Data!G345</x:f>
        <x:v>2.1</x:v>
      </x:c>
      <x:c r="F345" s="68" t="str">
        <x:f>Synthetic_Data!F345</x:f>
        <x:v>report_collection</x:v>
      </x:c>
    </x:row>
    <x:row r="346" ht="18" customHeight="1">
      <x:c r="A346" s="66" t="str">
        <x:f>Synthetic_Data!B346</x:f>
        <x:v>P0345</x:v>
      </x:c>
      <x:c r="B346" s="153" t="n">
        <x:f>Synthetic_Data!A346</x:f>
        <x:v>46136</x:v>
      </x:c>
      <x:c r="C346" s="159" t="n">
        <x:f>Synthetic_Data!N346</x:f>
        <x:v>107.9</x:v>
      </x:c>
      <x:c r="D346" s="159" t="n">
        <x:f>Synthetic_Data!J346</x:f>
        <x:v>10.5</x:v>
      </x:c>
      <x:c r="E346" s="159" t="n">
        <x:f>Synthetic_Data!G346</x:f>
        <x:v>3</x:v>
      </x:c>
      <x:c r="F346" s="68" t="str">
        <x:f>Synthetic_Data!F346</x:f>
        <x:v>registration</x:v>
      </x:c>
    </x:row>
    <x:row r="347" ht="18" customHeight="1">
      <x:c r="A347" s="66" t="str">
        <x:f>Synthetic_Data!B347</x:f>
        <x:v>P0346</x:v>
      </x:c>
      <x:c r="B347" s="153" t="n">
        <x:f>Synthetic_Data!A347</x:f>
        <x:v>46136</x:v>
      </x:c>
      <x:c r="C347" s="159" t="n">
        <x:f>Synthetic_Data!N347</x:f>
        <x:v>123.5</x:v>
      </x:c>
      <x:c r="D347" s="159" t="n">
        <x:f>Synthetic_Data!J347</x:f>
        <x:v>15.5</x:v>
      </x:c>
      <x:c r="E347" s="159" t="n">
        <x:f>Synthetic_Data!G347</x:f>
        <x:v>6.1</x:v>
      </x:c>
      <x:c r="F347" s="68" t="str">
        <x:f>Synthetic_Data!F347</x:f>
        <x:v>registration</x:v>
      </x:c>
    </x:row>
    <x:row r="348" ht="18" customHeight="1">
      <x:c r="A348" s="66" t="str">
        <x:f>Synthetic_Data!B348</x:f>
        <x:v>P0347</x:v>
      </x:c>
      <x:c r="B348" s="153" t="n">
        <x:f>Synthetic_Data!A348</x:f>
        <x:v>46136</x:v>
      </x:c>
      <x:c r="C348" s="159" t="n">
        <x:f>Synthetic_Data!N348</x:f>
        <x:v>125.6</x:v>
      </x:c>
      <x:c r="D348" s="159" t="n">
        <x:f>Synthetic_Data!J348</x:f>
        <x:v>2.1</x:v>
      </x:c>
      <x:c r="E348" s="159" t="n">
        <x:f>Synthetic_Data!G348</x:f>
        <x:v>3.6</x:v>
      </x:c>
      <x:c r="F348" s="68" t="str">
        <x:f>Synthetic_Data!F348</x:f>
        <x:v>registration</x:v>
      </x:c>
    </x:row>
    <x:row r="349" ht="18" customHeight="1">
      <x:c r="A349" s="66" t="str">
        <x:f>Synthetic_Data!B349</x:f>
        <x:v>P0348</x:v>
      </x:c>
      <x:c r="B349" s="153" t="n">
        <x:f>Synthetic_Data!A349</x:f>
        <x:v>46136</x:v>
      </x:c>
      <x:c r="C349" s="159" t="n">
        <x:f>Synthetic_Data!N349</x:f>
        <x:v>130.2</x:v>
      </x:c>
      <x:c r="D349" s="159" t="n">
        <x:f>Synthetic_Data!J349</x:f>
        <x:v>4.6</x:v>
      </x:c>
      <x:c r="E349" s="159" t="n">
        <x:f>Synthetic_Data!G349</x:f>
        <x:v>1.5</x:v>
      </x:c>
      <x:c r="F349" s="68" t="str">
        <x:f>Synthetic_Data!F349</x:f>
        <x:v>report_collection</x:v>
      </x:c>
    </x:row>
    <x:row r="350" ht="18" customHeight="1">
      <x:c r="A350" s="66" t="str">
        <x:f>Synthetic_Data!B350</x:f>
        <x:v>P0349</x:v>
      </x:c>
      <x:c r="B350" s="153" t="n">
        <x:f>Synthetic_Data!A350</x:f>
        <x:v>46136</x:v>
      </x:c>
      <x:c r="C350" s="159" t="n">
        <x:f>Synthetic_Data!N350</x:f>
        <x:v>140.9</x:v>
      </x:c>
      <x:c r="D350" s="159" t="n">
        <x:f>Synthetic_Data!J350</x:f>
        <x:v>10.7</x:v>
      </x:c>
      <x:c r="E350" s="159" t="n">
        <x:f>Synthetic_Data!G350</x:f>
        <x:v>5.4</x:v>
      </x:c>
      <x:c r="F350" s="68" t="str">
        <x:f>Synthetic_Data!F350</x:f>
        <x:v>sample_submission</x:v>
      </x:c>
    </x:row>
    <x:row r="351" ht="18" customHeight="1">
      <x:c r="A351" s="66" t="str">
        <x:f>Synthetic_Data!B351</x:f>
        <x:v>P0350</x:v>
      </x:c>
      <x:c r="B351" s="153" t="n">
        <x:f>Synthetic_Data!A351</x:f>
        <x:v>46136</x:v>
      </x:c>
      <x:c r="C351" s="159" t="n">
        <x:f>Synthetic_Data!N351</x:f>
        <x:v>141.9</x:v>
      </x:c>
      <x:c r="D351" s="159" t="n">
        <x:f>Synthetic_Data!J351</x:f>
        <x:v>1.1</x:v>
      </x:c>
      <x:c r="E351" s="159" t="n">
        <x:f>Synthetic_Data!G351</x:f>
        <x:v>1</x:v>
      </x:c>
      <x:c r="F351" s="68" t="str">
        <x:f>Synthetic_Data!F351</x:f>
        <x:v>inquiry</x:v>
      </x:c>
    </x:row>
    <x:row r="352" ht="18" customHeight="1">
      <x:c r="A352" s="66" t="str">
        <x:f>Synthetic_Data!B352</x:f>
        <x:v>P0351</x:v>
      </x:c>
      <x:c r="B352" s="153" t="n">
        <x:f>Synthetic_Data!A352</x:f>
        <x:v>46136</x:v>
      </x:c>
      <x:c r="C352" s="159" t="n">
        <x:f>Synthetic_Data!N352</x:f>
        <x:v>148.7</x:v>
      </x:c>
      <x:c r="D352" s="159" t="n">
        <x:f>Synthetic_Data!J352</x:f>
        <x:v>6.8</x:v>
      </x:c>
      <x:c r="E352" s="159" t="n">
        <x:f>Synthetic_Data!G352</x:f>
        <x:v>4.6</x:v>
      </x:c>
      <x:c r="F352" s="68" t="str">
        <x:f>Synthetic_Data!F352</x:f>
        <x:v>registration</x:v>
      </x:c>
    </x:row>
    <x:row r="353" ht="18" customHeight="1">
      <x:c r="A353" s="66" t="str">
        <x:f>Synthetic_Data!B353</x:f>
        <x:v>P0352</x:v>
      </x:c>
      <x:c r="B353" s="153" t="n">
        <x:f>Synthetic_Data!A353</x:f>
        <x:v>46136</x:v>
      </x:c>
      <x:c r="C353" s="159" t="n">
        <x:f>Synthetic_Data!N353</x:f>
        <x:v>158.7</x:v>
      </x:c>
      <x:c r="D353" s="159" t="n">
        <x:f>Synthetic_Data!J353</x:f>
        <x:v>10</x:v>
      </x:c>
      <x:c r="E353" s="159" t="n">
        <x:f>Synthetic_Data!G353</x:f>
        <x:v>3.3</x:v>
      </x:c>
      <x:c r="F353" s="68" t="str">
        <x:f>Synthetic_Data!F353</x:f>
        <x:v>billing_payment</x:v>
      </x:c>
    </x:row>
    <x:row r="354" ht="18" customHeight="1">
      <x:c r="A354" s="66" t="str">
        <x:f>Synthetic_Data!B354</x:f>
        <x:v>P0353</x:v>
      </x:c>
      <x:c r="B354" s="153" t="n">
        <x:f>Synthetic_Data!A354</x:f>
        <x:v>46136</x:v>
      </x:c>
      <x:c r="C354" s="159" t="n">
        <x:f>Synthetic_Data!N354</x:f>
        <x:v>160.1</x:v>
      </x:c>
      <x:c r="D354" s="159" t="n">
        <x:f>Synthetic_Data!J354</x:f>
        <x:v>1.3</x:v>
      </x:c>
      <x:c r="E354" s="159" t="n">
        <x:f>Synthetic_Data!G354</x:f>
        <x:v>4</x:v>
      </x:c>
      <x:c r="F354" s="68" t="str">
        <x:f>Synthetic_Data!F354</x:f>
        <x:v>registration</x:v>
      </x:c>
    </x:row>
    <x:row r="355" ht="18" customHeight="1">
      <x:c r="A355" s="66" t="str">
        <x:f>Synthetic_Data!B355</x:f>
        <x:v>P0354</x:v>
      </x:c>
      <x:c r="B355" s="153" t="n">
        <x:f>Synthetic_Data!A355</x:f>
        <x:v>46136</x:v>
      </x:c>
      <x:c r="C355" s="159" t="n">
        <x:f>Synthetic_Data!N355</x:f>
        <x:v>167.5</x:v>
      </x:c>
      <x:c r="D355" s="159" t="n">
        <x:f>Synthetic_Data!J355</x:f>
        <x:v>7.5</x:v>
      </x:c>
      <x:c r="E355" s="159" t="n">
        <x:f>Synthetic_Data!G355</x:f>
        <x:v>0.8</x:v>
      </x:c>
      <x:c r="F355" s="68" t="str">
        <x:f>Synthetic_Data!F355</x:f>
        <x:v>report_collection</x:v>
      </x:c>
    </x:row>
    <x:row r="356" ht="18" customHeight="1">
      <x:c r="A356" s="66" t="str">
        <x:f>Synthetic_Data!B356</x:f>
        <x:v>P0355</x:v>
      </x:c>
      <x:c r="B356" s="153" t="n">
        <x:f>Synthetic_Data!A356</x:f>
        <x:v>46136</x:v>
      </x:c>
      <x:c r="C356" s="159" t="n">
        <x:f>Synthetic_Data!N356</x:f>
        <x:v>169.3</x:v>
      </x:c>
      <x:c r="D356" s="159" t="n">
        <x:f>Synthetic_Data!J356</x:f>
        <x:v>1.7</x:v>
      </x:c>
      <x:c r="E356" s="159" t="n">
        <x:f>Synthetic_Data!G356</x:f>
        <x:v>5.9</x:v>
      </x:c>
      <x:c r="F356" s="68" t="str">
        <x:f>Synthetic_Data!F356</x:f>
        <x:v>registration</x:v>
      </x:c>
    </x:row>
    <x:row r="357" ht="18" customHeight="1">
      <x:c r="A357" s="66" t="str">
        <x:f>Synthetic_Data!B357</x:f>
        <x:v>P0356</x:v>
      </x:c>
      <x:c r="B357" s="153" t="n">
        <x:f>Synthetic_Data!A357</x:f>
        <x:v>46136</x:v>
      </x:c>
      <x:c r="C357" s="159" t="n">
        <x:f>Synthetic_Data!N357</x:f>
        <x:v>176.1</x:v>
      </x:c>
      <x:c r="D357" s="159" t="n">
        <x:f>Synthetic_Data!J357</x:f>
        <x:v>6.8</x:v>
      </x:c>
      <x:c r="E357" s="159" t="n">
        <x:f>Synthetic_Data!G357</x:f>
        <x:v>4.2</x:v>
      </x:c>
      <x:c r="F357" s="68" t="str">
        <x:f>Synthetic_Data!F357</x:f>
        <x:v>registration</x:v>
      </x:c>
    </x:row>
    <x:row r="358" ht="18" customHeight="1">
      <x:c r="A358" s="66" t="str">
        <x:f>Synthetic_Data!B358</x:f>
        <x:v>P0357</x:v>
      </x:c>
      <x:c r="B358" s="153" t="n">
        <x:f>Synthetic_Data!A358</x:f>
        <x:v>46136</x:v>
      </x:c>
      <x:c r="C358" s="159" t="n">
        <x:f>Synthetic_Data!N358</x:f>
        <x:v>182.8</x:v>
      </x:c>
      <x:c r="D358" s="159" t="n">
        <x:f>Synthetic_Data!J358</x:f>
        <x:v>6.7</x:v>
      </x:c>
      <x:c r="E358" s="159" t="n">
        <x:f>Synthetic_Data!G358</x:f>
        <x:v>1.7</x:v>
      </x:c>
      <x:c r="F358" s="68" t="str">
        <x:f>Synthetic_Data!F358</x:f>
        <x:v>report_collection</x:v>
      </x:c>
    </x:row>
    <x:row r="359" ht="18" customHeight="1">
      <x:c r="A359" s="66" t="str">
        <x:f>Synthetic_Data!B359</x:f>
        <x:v>P0358</x:v>
      </x:c>
      <x:c r="B359" s="153" t="n">
        <x:f>Synthetic_Data!A359</x:f>
        <x:v>46136</x:v>
      </x:c>
      <x:c r="C359" s="159" t="n">
        <x:f>Synthetic_Data!N359</x:f>
        <x:v>185.9</x:v>
      </x:c>
      <x:c r="D359" s="159" t="n">
        <x:f>Synthetic_Data!J359</x:f>
        <x:v>3.1</x:v>
      </x:c>
      <x:c r="E359" s="159" t="n">
        <x:f>Synthetic_Data!G359</x:f>
        <x:v>1.1</x:v>
      </x:c>
      <x:c r="F359" s="68" t="str">
        <x:f>Synthetic_Data!F359</x:f>
        <x:v>report_collection</x:v>
      </x:c>
    </x:row>
    <x:row r="360" ht="18" customHeight="1">
      <x:c r="A360" s="66" t="str">
        <x:f>Synthetic_Data!B360</x:f>
        <x:v>P0359</x:v>
      </x:c>
      <x:c r="B360" s="153" t="n">
        <x:f>Synthetic_Data!A360</x:f>
        <x:v>46136</x:v>
      </x:c>
      <x:c r="C360" s="159" t="n">
        <x:f>Synthetic_Data!N360</x:f>
        <x:v>186.7</x:v>
      </x:c>
      <x:c r="D360" s="159" t="n">
        <x:f>Synthetic_Data!J360</x:f>
        <x:v>0.8</x:v>
      </x:c>
      <x:c r="E360" s="159" t="n">
        <x:f>Synthetic_Data!G360</x:f>
        <x:v>5.2</x:v>
      </x:c>
      <x:c r="F360" s="68" t="str">
        <x:f>Synthetic_Data!F360</x:f>
        <x:v>registration</x:v>
      </x:c>
    </x:row>
    <x:row r="361" ht="18" customHeight="1">
      <x:c r="A361" s="66" t="str">
        <x:f>Synthetic_Data!B361</x:f>
        <x:v>P0360</x:v>
      </x:c>
      <x:c r="B361" s="153" t="n">
        <x:f>Synthetic_Data!A361</x:f>
        <x:v>46136</x:v>
      </x:c>
      <x:c r="C361" s="159" t="n">
        <x:f>Synthetic_Data!N361</x:f>
        <x:v>188.1</x:v>
      </x:c>
      <x:c r="D361" s="159" t="n">
        <x:f>Synthetic_Data!J361</x:f>
        <x:v>1.4</x:v>
      </x:c>
      <x:c r="E361" s="159" t="n">
        <x:f>Synthetic_Data!G361</x:f>
        <x:v>5.3</x:v>
      </x:c>
      <x:c r="F361" s="68" t="str">
        <x:f>Synthetic_Data!F361</x:f>
        <x:v>sample_submission</x:v>
      </x:c>
    </x:row>
    <x:row r="362" ht="18" customHeight="1">
      <x:c r="A362" s="66" t="str">
        <x:f>Synthetic_Data!B362</x:f>
        <x:v>P0361</x:v>
      </x:c>
      <x:c r="B362" s="153" t="n">
        <x:f>Synthetic_Data!A362</x:f>
        <x:v>46136</x:v>
      </x:c>
      <x:c r="C362" s="159" t="n">
        <x:f>Synthetic_Data!N362</x:f>
        <x:v>200.3</x:v>
      </x:c>
      <x:c r="D362" s="159" t="n">
        <x:f>Synthetic_Data!J362</x:f>
        <x:v>12.2</x:v>
      </x:c>
      <x:c r="E362" s="159" t="n">
        <x:f>Synthetic_Data!G362</x:f>
        <x:v>3.4</x:v>
      </x:c>
      <x:c r="F362" s="68" t="str">
        <x:f>Synthetic_Data!F362</x:f>
        <x:v>registration</x:v>
      </x:c>
    </x:row>
    <x:row r="363" ht="18" customHeight="1">
      <x:c r="A363" s="66" t="str">
        <x:f>Synthetic_Data!B363</x:f>
        <x:v>P0362</x:v>
      </x:c>
      <x:c r="B363" s="153" t="n">
        <x:f>Synthetic_Data!A363</x:f>
        <x:v>46136</x:v>
      </x:c>
      <x:c r="C363" s="159" t="n">
        <x:f>Synthetic_Data!N363</x:f>
        <x:v>202.7</x:v>
      </x:c>
      <x:c r="D363" s="159" t="n">
        <x:f>Synthetic_Data!J363</x:f>
        <x:v>2.4</x:v>
      </x:c>
      <x:c r="E363" s="159" t="n">
        <x:f>Synthetic_Data!G363</x:f>
        <x:v>6.1</x:v>
      </x:c>
      <x:c r="F363" s="68" t="str">
        <x:f>Synthetic_Data!F363</x:f>
        <x:v>sample_submission</x:v>
      </x:c>
    </x:row>
    <x:row r="364" ht="18" customHeight="1">
      <x:c r="A364" s="66" t="str">
        <x:f>Synthetic_Data!B364</x:f>
        <x:v>P0363</x:v>
      </x:c>
      <x:c r="B364" s="153" t="n">
        <x:f>Synthetic_Data!A364</x:f>
        <x:v>46136</x:v>
      </x:c>
      <x:c r="C364" s="159" t="n">
        <x:f>Synthetic_Data!N364</x:f>
        <x:v>212.6</x:v>
      </x:c>
      <x:c r="D364" s="159" t="n">
        <x:f>Synthetic_Data!J364</x:f>
        <x:v>9.9</x:v>
      </x:c>
      <x:c r="E364" s="159" t="n">
        <x:f>Synthetic_Data!G364</x:f>
        <x:v>1.8</x:v>
      </x:c>
      <x:c r="F364" s="68" t="str">
        <x:f>Synthetic_Data!F364</x:f>
        <x:v>inquiry</x:v>
      </x:c>
    </x:row>
    <x:row r="365" ht="18" customHeight="1">
      <x:c r="A365" s="66" t="str">
        <x:f>Synthetic_Data!B365</x:f>
        <x:v>P0364</x:v>
      </x:c>
      <x:c r="B365" s="153" t="n">
        <x:f>Synthetic_Data!A365</x:f>
        <x:v>46136</x:v>
      </x:c>
      <x:c r="C365" s="159" t="n">
        <x:f>Synthetic_Data!N365</x:f>
        <x:v>213.1</x:v>
      </x:c>
      <x:c r="D365" s="159" t="n">
        <x:f>Synthetic_Data!J365</x:f>
        <x:v>0.4</x:v>
      </x:c>
      <x:c r="E365" s="159" t="n">
        <x:f>Synthetic_Data!G365</x:f>
        <x:v>7.7</x:v>
      </x:c>
      <x:c r="F365" s="68" t="str">
        <x:f>Synthetic_Data!F365</x:f>
        <x:v>registration</x:v>
      </x:c>
    </x:row>
    <x:row r="366" ht="18" customHeight="1">
      <x:c r="A366" s="66" t="str">
        <x:f>Synthetic_Data!B366</x:f>
        <x:v>P0365</x:v>
      </x:c>
      <x:c r="B366" s="153" t="n">
        <x:f>Synthetic_Data!A366</x:f>
        <x:v>46136</x:v>
      </x:c>
      <x:c r="C366" s="159" t="n">
        <x:f>Synthetic_Data!N366</x:f>
        <x:v>236.1</x:v>
      </x:c>
      <x:c r="D366" s="159" t="n">
        <x:f>Synthetic_Data!J366</x:f>
        <x:v>23</x:v>
      </x:c>
      <x:c r="E366" s="159" t="n">
        <x:f>Synthetic_Data!G366</x:f>
        <x:v>2.4</x:v>
      </x:c>
      <x:c r="F366" s="68" t="str">
        <x:f>Synthetic_Data!F366</x:f>
        <x:v>report_collection</x:v>
      </x:c>
    </x:row>
    <x:row r="367" ht="18" customHeight="1">
      <x:c r="A367" s="66" t="str">
        <x:f>Synthetic_Data!B367</x:f>
        <x:v>P0366</x:v>
      </x:c>
      <x:c r="B367" s="153" t="n">
        <x:f>Synthetic_Data!A367</x:f>
        <x:v>46136</x:v>
      </x:c>
      <x:c r="C367" s="159" t="n">
        <x:f>Synthetic_Data!N367</x:f>
        <x:v>252.2</x:v>
      </x:c>
      <x:c r="D367" s="159" t="n">
        <x:f>Synthetic_Data!J367</x:f>
        <x:v>16.1</x:v>
      </x:c>
      <x:c r="E367" s="159" t="n">
        <x:f>Synthetic_Data!G367</x:f>
        <x:v>1.5</x:v>
      </x:c>
      <x:c r="F367" s="68" t="str">
        <x:f>Synthetic_Data!F367</x:f>
        <x:v>report_collection</x:v>
      </x:c>
    </x:row>
    <x:row r="368" ht="18" customHeight="1">
      <x:c r="A368" s="66" t="str">
        <x:f>Synthetic_Data!B368</x:f>
        <x:v>P0367</x:v>
      </x:c>
      <x:c r="B368" s="153" t="n">
        <x:f>Synthetic_Data!A368</x:f>
        <x:v>46136</x:v>
      </x:c>
      <x:c r="C368" s="159" t="n">
        <x:f>Synthetic_Data!N368</x:f>
        <x:v>256</x:v>
      </x:c>
      <x:c r="D368" s="159" t="n">
        <x:f>Synthetic_Data!J368</x:f>
        <x:v>3.8</x:v>
      </x:c>
      <x:c r="E368" s="159" t="n">
        <x:f>Synthetic_Data!G368</x:f>
        <x:v>4.5</x:v>
      </x:c>
      <x:c r="F368" s="68" t="str">
        <x:f>Synthetic_Data!F368</x:f>
        <x:v>registration</x:v>
      </x:c>
    </x:row>
    <x:row r="369" ht="18" customHeight="1">
      <x:c r="A369" s="66" t="str">
        <x:f>Synthetic_Data!B369</x:f>
        <x:v>P0368</x:v>
      </x:c>
      <x:c r="B369" s="153" t="n">
        <x:f>Synthetic_Data!A369</x:f>
        <x:v>46136</x:v>
      </x:c>
      <x:c r="C369" s="159" t="n">
        <x:f>Synthetic_Data!N369</x:f>
        <x:v>260.3</x:v>
      </x:c>
      <x:c r="D369" s="159" t="n">
        <x:f>Synthetic_Data!J369</x:f>
        <x:v>4.3</x:v>
      </x:c>
      <x:c r="E369" s="159" t="n">
        <x:f>Synthetic_Data!G369</x:f>
        <x:v>2.5</x:v>
      </x:c>
      <x:c r="F369" s="68" t="str">
        <x:f>Synthetic_Data!F369</x:f>
        <x:v>billing_payment</x:v>
      </x:c>
    </x:row>
    <x:row r="370" ht="18" customHeight="1">
      <x:c r="A370" s="66" t="str">
        <x:f>Synthetic_Data!B370</x:f>
        <x:v>P0369</x:v>
      </x:c>
      <x:c r="B370" s="153" t="n">
        <x:f>Synthetic_Data!A370</x:f>
        <x:v>46136</x:v>
      </x:c>
      <x:c r="C370" s="159" t="n">
        <x:f>Synthetic_Data!N370</x:f>
        <x:v>265.2</x:v>
      </x:c>
      <x:c r="D370" s="159" t="n">
        <x:f>Synthetic_Data!J370</x:f>
        <x:v>4.9</x:v>
      </x:c>
      <x:c r="E370" s="159" t="n">
        <x:f>Synthetic_Data!G370</x:f>
        <x:v>6.7</x:v>
      </x:c>
      <x:c r="F370" s="68" t="str">
        <x:f>Synthetic_Data!F370</x:f>
        <x:v>sample_submission</x:v>
      </x:c>
    </x:row>
    <x:row r="371" ht="18" customHeight="1">
      <x:c r="A371" s="66" t="str">
        <x:f>Synthetic_Data!B371</x:f>
        <x:v>P0370</x:v>
      </x:c>
      <x:c r="B371" s="153" t="n">
        <x:f>Synthetic_Data!A371</x:f>
        <x:v>46136</x:v>
      </x:c>
      <x:c r="C371" s="159" t="n">
        <x:f>Synthetic_Data!N371</x:f>
        <x:v>271.1</x:v>
      </x:c>
      <x:c r="D371" s="159" t="n">
        <x:f>Synthetic_Data!J371</x:f>
        <x:v>6</x:v>
      </x:c>
      <x:c r="E371" s="159" t="n">
        <x:f>Synthetic_Data!G371</x:f>
        <x:v>5.1</x:v>
      </x:c>
      <x:c r="F371" s="68" t="str">
        <x:f>Synthetic_Data!F371</x:f>
        <x:v>registration</x:v>
      </x:c>
    </x:row>
    <x:row r="372" ht="18" customHeight="1">
      <x:c r="A372" s="66" t="str">
        <x:f>Synthetic_Data!B372</x:f>
        <x:v>P0371</x:v>
      </x:c>
      <x:c r="B372" s="153" t="n">
        <x:f>Synthetic_Data!A372</x:f>
        <x:v>46136</x:v>
      </x:c>
      <x:c r="C372" s="159" t="n">
        <x:f>Synthetic_Data!N372</x:f>
        <x:v>314.5</x:v>
      </x:c>
      <x:c r="D372" s="159" t="n">
        <x:f>Synthetic_Data!J372</x:f>
        <x:v>43.4</x:v>
      </x:c>
      <x:c r="E372" s="159" t="n">
        <x:f>Synthetic_Data!G372</x:f>
        <x:v>4.9</x:v>
      </x:c>
      <x:c r="F372" s="68" t="str">
        <x:f>Synthetic_Data!F372</x:f>
        <x:v>sample_submission</x:v>
      </x:c>
    </x:row>
    <x:row r="373" ht="18" customHeight="1">
      <x:c r="A373" s="66" t="str">
        <x:f>Synthetic_Data!B373</x:f>
        <x:v>P0372</x:v>
      </x:c>
      <x:c r="B373" s="153" t="n">
        <x:f>Synthetic_Data!A373</x:f>
        <x:v>46136</x:v>
      </x:c>
      <x:c r="C373" s="159" t="n">
        <x:f>Synthetic_Data!N373</x:f>
        <x:v>315.3</x:v>
      </x:c>
      <x:c r="D373" s="159" t="n">
        <x:f>Synthetic_Data!J373</x:f>
        <x:v>0.7</x:v>
      </x:c>
      <x:c r="E373" s="159" t="n">
        <x:f>Synthetic_Data!G373</x:f>
        <x:v>4.7</x:v>
      </x:c>
      <x:c r="F373" s="68" t="str">
        <x:f>Synthetic_Data!F373</x:f>
        <x:v>registration</x:v>
      </x:c>
    </x:row>
    <x:row r="374" ht="18" customHeight="1">
      <x:c r="A374" s="66" t="str">
        <x:f>Synthetic_Data!B374</x:f>
        <x:v>P0373</x:v>
      </x:c>
      <x:c r="B374" s="153" t="n">
        <x:f>Synthetic_Data!A374</x:f>
        <x:v>46136</x:v>
      </x:c>
      <x:c r="C374" s="159" t="n">
        <x:f>Synthetic_Data!N374</x:f>
        <x:v>324.2</x:v>
      </x:c>
      <x:c r="D374" s="159" t="n">
        <x:f>Synthetic_Data!J374</x:f>
        <x:v>8.9</x:v>
      </x:c>
      <x:c r="E374" s="159" t="n">
        <x:f>Synthetic_Data!G374</x:f>
        <x:v>2.7</x:v>
      </x:c>
      <x:c r="F374" s="68" t="str">
        <x:f>Synthetic_Data!F374</x:f>
        <x:v>report_collection</x:v>
      </x:c>
    </x:row>
    <x:row r="375" ht="18" customHeight="1">
      <x:c r="A375" s="66" t="str">
        <x:f>Synthetic_Data!B375</x:f>
        <x:v>P0374</x:v>
      </x:c>
      <x:c r="B375" s="153" t="n">
        <x:f>Synthetic_Data!A375</x:f>
        <x:v>46136</x:v>
      </x:c>
      <x:c r="C375" s="159" t="n">
        <x:f>Synthetic_Data!N375</x:f>
        <x:v>327.6</x:v>
      </x:c>
      <x:c r="D375" s="159" t="n">
        <x:f>Synthetic_Data!J375</x:f>
        <x:v>3.4</x:v>
      </x:c>
      <x:c r="E375" s="159" t="n">
        <x:f>Synthetic_Data!G375</x:f>
        <x:v>4.1</x:v>
      </x:c>
      <x:c r="F375" s="68" t="str">
        <x:f>Synthetic_Data!F375</x:f>
        <x:v>billing_payment</x:v>
      </x:c>
    </x:row>
    <x:row r="376" ht="18" customHeight="1">
      <x:c r="A376" s="66" t="str">
        <x:f>Synthetic_Data!B376</x:f>
        <x:v>P0375</x:v>
      </x:c>
      <x:c r="B376" s="153" t="n">
        <x:f>Synthetic_Data!A376</x:f>
        <x:v>46136</x:v>
      </x:c>
      <x:c r="C376" s="159" t="n">
        <x:f>Synthetic_Data!N376</x:f>
        <x:v>328.7</x:v>
      </x:c>
      <x:c r="D376" s="159" t="n">
        <x:f>Synthetic_Data!J376</x:f>
        <x:v>1.1</x:v>
      </x:c>
      <x:c r="E376" s="159" t="n">
        <x:f>Synthetic_Data!G376</x:f>
        <x:v>2.4</x:v>
      </x:c>
      <x:c r="F376" s="68" t="str">
        <x:f>Synthetic_Data!F376</x:f>
        <x:v>inquiry</x:v>
      </x:c>
    </x:row>
    <x:row r="377" ht="18" customHeight="1">
      <x:c r="A377" s="66" t="str">
        <x:f>Synthetic_Data!B377</x:f>
        <x:v>P0376</x:v>
      </x:c>
      <x:c r="B377" s="153" t="n">
        <x:f>Synthetic_Data!A377</x:f>
        <x:v>46136</x:v>
      </x:c>
      <x:c r="C377" s="159" t="n">
        <x:f>Synthetic_Data!N377</x:f>
        <x:v>331</x:v>
      </x:c>
      <x:c r="D377" s="159" t="n">
        <x:f>Synthetic_Data!J377</x:f>
        <x:v>2.3</x:v>
      </x:c>
      <x:c r="E377" s="159" t="n">
        <x:f>Synthetic_Data!G377</x:f>
        <x:v>4.8</x:v>
      </x:c>
      <x:c r="F377" s="68" t="str">
        <x:f>Synthetic_Data!F377</x:f>
        <x:v>sample_submission</x:v>
      </x:c>
    </x:row>
    <x:row r="378" ht="18" customHeight="1">
      <x:c r="A378" s="66" t="str">
        <x:f>Synthetic_Data!B378</x:f>
        <x:v>P0377</x:v>
      </x:c>
      <x:c r="B378" s="153" t="n">
        <x:f>Synthetic_Data!A378</x:f>
        <x:v>46136</x:v>
      </x:c>
      <x:c r="C378" s="159" t="n">
        <x:f>Synthetic_Data!N378</x:f>
        <x:v>331.5</x:v>
      </x:c>
      <x:c r="D378" s="159" t="n">
        <x:f>Synthetic_Data!J378</x:f>
        <x:v>0.6</x:v>
      </x:c>
      <x:c r="E378" s="159" t="n">
        <x:f>Synthetic_Data!G378</x:f>
        <x:v>5.3</x:v>
      </x:c>
      <x:c r="F378" s="68" t="str">
        <x:f>Synthetic_Data!F378</x:f>
        <x:v>registration</x:v>
      </x:c>
    </x:row>
    <x:row r="379" ht="18" customHeight="1">
      <x:c r="A379" s="66" t="str">
        <x:f>Synthetic_Data!B379</x:f>
        <x:v>P0378</x:v>
      </x:c>
      <x:c r="B379" s="153" t="n">
        <x:f>Synthetic_Data!A379</x:f>
        <x:v>46136</x:v>
      </x:c>
      <x:c r="C379" s="159" t="n">
        <x:f>Synthetic_Data!N379</x:f>
        <x:v>340.5</x:v>
      </x:c>
      <x:c r="D379" s="159" t="n">
        <x:f>Synthetic_Data!J379</x:f>
        <x:v>9</x:v>
      </x:c>
      <x:c r="E379" s="159" t="n">
        <x:f>Synthetic_Data!G379</x:f>
        <x:v>4.9</x:v>
      </x:c>
      <x:c r="F379" s="68" t="str">
        <x:f>Synthetic_Data!F379</x:f>
        <x:v>sample_submission</x:v>
      </x:c>
    </x:row>
    <x:row r="380" ht="18" customHeight="1">
      <x:c r="A380" s="66" t="str">
        <x:f>Synthetic_Data!B380</x:f>
        <x:v>P0379</x:v>
      </x:c>
      <x:c r="B380" s="153" t="n">
        <x:f>Synthetic_Data!A380</x:f>
        <x:v>46136</x:v>
      </x:c>
      <x:c r="C380" s="159" t="n">
        <x:f>Synthetic_Data!N380</x:f>
        <x:v>349.8</x:v>
      </x:c>
      <x:c r="D380" s="159" t="n">
        <x:f>Synthetic_Data!J380</x:f>
        <x:v>9.3</x:v>
      </x:c>
      <x:c r="E380" s="159" t="n">
        <x:f>Synthetic_Data!G380</x:f>
        <x:v>3.7</x:v>
      </x:c>
      <x:c r="F380" s="68" t="str">
        <x:f>Synthetic_Data!F380</x:f>
        <x:v>appointment_booking</x:v>
      </x:c>
    </x:row>
    <x:row r="381" ht="18" customHeight="1">
      <x:c r="A381" s="66" t="str">
        <x:f>Synthetic_Data!B381</x:f>
        <x:v>P0380</x:v>
      </x:c>
      <x:c r="B381" s="153" t="n">
        <x:f>Synthetic_Data!A381</x:f>
        <x:v>46136</x:v>
      </x:c>
      <x:c r="C381" s="159" t="n">
        <x:f>Synthetic_Data!N381</x:f>
        <x:v>350.3</x:v>
      </x:c>
      <x:c r="D381" s="159" t="n">
        <x:f>Synthetic_Data!J381</x:f>
        <x:v>0.5</x:v>
      </x:c>
      <x:c r="E381" s="159" t="n">
        <x:f>Synthetic_Data!G381</x:f>
        <x:v>5.9</x:v>
      </x:c>
      <x:c r="F381" s="68" t="str">
        <x:f>Synthetic_Data!F381</x:f>
        <x:v>report_collection</x:v>
      </x:c>
    </x:row>
    <x:row r="382" ht="18" customHeight="1">
      <x:c r="A382" s="66" t="str">
        <x:f>Synthetic_Data!B382</x:f>
        <x:v>P0381</x:v>
      </x:c>
      <x:c r="B382" s="153" t="n">
        <x:f>Synthetic_Data!A382</x:f>
        <x:v>46136</x:v>
      </x:c>
      <x:c r="C382" s="159" t="n">
        <x:f>Synthetic_Data!N382</x:f>
        <x:v>351.1</x:v>
      </x:c>
      <x:c r="D382" s="159" t="n">
        <x:f>Synthetic_Data!J382</x:f>
        <x:v>0.8</x:v>
      </x:c>
      <x:c r="E382" s="159" t="n">
        <x:f>Synthetic_Data!G382</x:f>
        <x:v>5.1</x:v>
      </x:c>
      <x:c r="F382" s="68" t="str">
        <x:f>Synthetic_Data!F382</x:f>
        <x:v>registration</x:v>
      </x:c>
    </x:row>
    <x:row r="383" ht="18" customHeight="1">
      <x:c r="A383" s="66" t="str">
        <x:f>Synthetic_Data!B383</x:f>
        <x:v>P0382</x:v>
      </x:c>
      <x:c r="B383" s="153" t="n">
        <x:f>Synthetic_Data!A383</x:f>
        <x:v>46136</x:v>
      </x:c>
      <x:c r="C383" s="159" t="n">
        <x:f>Synthetic_Data!N383</x:f>
        <x:v>352.7</x:v>
      </x:c>
      <x:c r="D383" s="159" t="n">
        <x:f>Synthetic_Data!J383</x:f>
        <x:v>1.6</x:v>
      </x:c>
      <x:c r="E383" s="159" t="n">
        <x:f>Synthetic_Data!G383</x:f>
        <x:v>4</x:v>
      </x:c>
      <x:c r="F383" s="68" t="str">
        <x:f>Synthetic_Data!F383</x:f>
        <x:v>sample_submission</x:v>
      </x:c>
    </x:row>
    <x:row r="384" ht="18" customHeight="1">
      <x:c r="A384" s="66" t="str">
        <x:f>Synthetic_Data!B384</x:f>
        <x:v>P0383</x:v>
      </x:c>
      <x:c r="B384" s="153" t="n">
        <x:f>Synthetic_Data!A384</x:f>
        <x:v>46136</x:v>
      </x:c>
      <x:c r="C384" s="159" t="n">
        <x:f>Synthetic_Data!N384</x:f>
        <x:v>353.3</x:v>
      </x:c>
      <x:c r="D384" s="159" t="n">
        <x:f>Synthetic_Data!J384</x:f>
        <x:v>0.6</x:v>
      </x:c>
      <x:c r="E384" s="159" t="n">
        <x:f>Synthetic_Data!G384</x:f>
        <x:v>2.7</x:v>
      </x:c>
      <x:c r="F384" s="68" t="str">
        <x:f>Synthetic_Data!F384</x:f>
        <x:v>billing_payment</x:v>
      </x:c>
    </x:row>
    <x:row r="385" ht="18" customHeight="1">
      <x:c r="A385" s="66" t="str">
        <x:f>Synthetic_Data!B385</x:f>
        <x:v>P0384</x:v>
      </x:c>
      <x:c r="B385" s="153" t="n">
        <x:f>Synthetic_Data!A385</x:f>
        <x:v>46136</x:v>
      </x:c>
      <x:c r="C385" s="159" t="n">
        <x:f>Synthetic_Data!N385</x:f>
        <x:v>354.4</x:v>
      </x:c>
      <x:c r="D385" s="159" t="n">
        <x:f>Synthetic_Data!J385</x:f>
        <x:v>1.1</x:v>
      </x:c>
      <x:c r="E385" s="159" t="n">
        <x:f>Synthetic_Data!G385</x:f>
        <x:v>1.8</x:v>
      </x:c>
      <x:c r="F385" s="68" t="str">
        <x:f>Synthetic_Data!F385</x:f>
        <x:v>report_collection</x:v>
      </x:c>
    </x:row>
    <x:row r="386" ht="18" customHeight="1">
      <x:c r="A386" s="66" t="str">
        <x:f>Synthetic_Data!B386</x:f>
        <x:v>P0385</x:v>
      </x:c>
      <x:c r="B386" s="153" t="n">
        <x:f>Synthetic_Data!A386</x:f>
        <x:v>46136</x:v>
      </x:c>
      <x:c r="C386" s="159" t="n">
        <x:f>Synthetic_Data!N386</x:f>
        <x:v>354.8</x:v>
      </x:c>
      <x:c r="D386" s="159" t="n">
        <x:f>Synthetic_Data!J386</x:f>
        <x:v>0.4</x:v>
      </x:c>
      <x:c r="E386" s="159" t="n">
        <x:f>Synthetic_Data!G386</x:f>
        <x:v>3.9</x:v>
      </x:c>
      <x:c r="F386" s="68" t="str">
        <x:f>Synthetic_Data!F386</x:f>
        <x:v>appointment_booking</x:v>
      </x:c>
    </x:row>
    <x:row r="387" ht="18" customHeight="1">
      <x:c r="A387" s="66" t="str">
        <x:f>Synthetic_Data!B387</x:f>
        <x:v>P0386</x:v>
      </x:c>
      <x:c r="B387" s="153" t="n">
        <x:f>Synthetic_Data!A387</x:f>
        <x:v>46136</x:v>
      </x:c>
      <x:c r="C387" s="159" t="n">
        <x:f>Synthetic_Data!N387</x:f>
        <x:v>356.2</x:v>
      </x:c>
      <x:c r="D387" s="159" t="n">
        <x:f>Synthetic_Data!J387</x:f>
        <x:v>1.4</x:v>
      </x:c>
      <x:c r="E387" s="159" t="n">
        <x:f>Synthetic_Data!G387</x:f>
        <x:v>1.8</x:v>
      </x:c>
      <x:c r="F387" s="68" t="str">
        <x:f>Synthetic_Data!F387</x:f>
        <x:v>report_collection</x:v>
      </x:c>
    </x:row>
    <x:row r="388" ht="18" customHeight="1">
      <x:c r="A388" s="66" t="str">
        <x:f>Synthetic_Data!B388</x:f>
        <x:v>P0387</x:v>
      </x:c>
      <x:c r="B388" s="153" t="n">
        <x:f>Synthetic_Data!A388</x:f>
        <x:v>46136</x:v>
      </x:c>
      <x:c r="C388" s="159" t="n">
        <x:f>Synthetic_Data!N388</x:f>
        <x:v>360.1</x:v>
      </x:c>
      <x:c r="D388" s="159" t="n">
        <x:f>Synthetic_Data!J388</x:f>
        <x:v>4</x:v>
      </x:c>
      <x:c r="E388" s="159" t="n">
        <x:f>Synthetic_Data!G388</x:f>
        <x:v>4.8</x:v>
      </x:c>
      <x:c r="F388" s="68" t="str">
        <x:f>Synthetic_Data!F388</x:f>
        <x:v>sample_submission</x:v>
      </x:c>
    </x:row>
    <x:row r="389" ht="18" customHeight="1">
      <x:c r="A389" s="66" t="str">
        <x:f>Synthetic_Data!B389</x:f>
        <x:v>P0388</x:v>
      </x:c>
      <x:c r="B389" s="153" t="n">
        <x:f>Synthetic_Data!A389</x:f>
        <x:v>46136</x:v>
      </x:c>
      <x:c r="C389" s="159" t="n">
        <x:f>Synthetic_Data!N389</x:f>
        <x:v>360.4</x:v>
      </x:c>
      <x:c r="D389" s="159" t="n">
        <x:f>Synthetic_Data!J389</x:f>
        <x:v>0.3</x:v>
      </x:c>
      <x:c r="E389" s="159" t="n">
        <x:f>Synthetic_Data!G389</x:f>
        <x:v>2</x:v>
      </x:c>
      <x:c r="F389" s="68" t="str">
        <x:f>Synthetic_Data!F389</x:f>
        <x:v>report_collection</x:v>
      </x:c>
    </x:row>
    <x:row r="390" ht="18" customHeight="1">
      <x:c r="A390" s="66" t="str">
        <x:f>Synthetic_Data!B390</x:f>
        <x:v>P0389</x:v>
      </x:c>
      <x:c r="B390" s="153" t="n">
        <x:f>Synthetic_Data!A390</x:f>
        <x:v>46136</x:v>
      </x:c>
      <x:c r="C390" s="159" t="n">
        <x:f>Synthetic_Data!N390</x:f>
        <x:v>380.5</x:v>
      </x:c>
      <x:c r="D390" s="159" t="n">
        <x:f>Synthetic_Data!J390</x:f>
        <x:v>20.1</x:v>
      </x:c>
      <x:c r="E390" s="159" t="n">
        <x:f>Synthetic_Data!G390</x:f>
        <x:v>1.3</x:v>
      </x:c>
      <x:c r="F390" s="68" t="str">
        <x:f>Synthetic_Data!F390</x:f>
        <x:v>inquiry</x:v>
      </x:c>
    </x:row>
    <x:row r="391" ht="18" customHeight="1">
      <x:c r="A391" s="66" t="str">
        <x:f>Synthetic_Data!B391</x:f>
        <x:v>P0390</x:v>
      </x:c>
      <x:c r="B391" s="153" t="n">
        <x:f>Synthetic_Data!A391</x:f>
        <x:v>46136</x:v>
      </x:c>
      <x:c r="C391" s="159" t="n">
        <x:f>Synthetic_Data!N391</x:f>
        <x:v>391.3</x:v>
      </x:c>
      <x:c r="D391" s="159" t="n">
        <x:f>Synthetic_Data!J391</x:f>
        <x:v>10.8</x:v>
      </x:c>
      <x:c r="E391" s="159" t="n">
        <x:f>Synthetic_Data!G391</x:f>
        <x:v>5.2</x:v>
      </x:c>
      <x:c r="F391" s="68" t="str">
        <x:f>Synthetic_Data!F391</x:f>
        <x:v>sample_submission</x:v>
      </x:c>
    </x:row>
    <x:row r="392" ht="18" customHeight="1">
      <x:c r="A392" s="66" t="str">
        <x:f>Synthetic_Data!B392</x:f>
        <x:v>P0391</x:v>
      </x:c>
      <x:c r="B392" s="153" t="n">
        <x:f>Synthetic_Data!A392</x:f>
        <x:v>46136</x:v>
      </x:c>
      <x:c r="C392" s="159" t="n">
        <x:f>Synthetic_Data!N392</x:f>
        <x:v>391.5</x:v>
      </x:c>
      <x:c r="D392" s="159" t="n">
        <x:f>Synthetic_Data!J392</x:f>
        <x:v>0.2</x:v>
      </x:c>
      <x:c r="E392" s="159" t="n">
        <x:f>Synthetic_Data!G392</x:f>
        <x:v>3.1</x:v>
      </x:c>
      <x:c r="F392" s="68" t="str">
        <x:f>Synthetic_Data!F392</x:f>
        <x:v>registration</x:v>
      </x:c>
    </x:row>
    <x:row r="393" ht="18" customHeight="1">
      <x:c r="A393" s="66" t="str">
        <x:f>Synthetic_Data!B393</x:f>
        <x:v>P0392</x:v>
      </x:c>
      <x:c r="B393" s="153" t="n">
        <x:f>Synthetic_Data!A393</x:f>
        <x:v>46136</x:v>
      </x:c>
      <x:c r="C393" s="159" t="n">
        <x:f>Synthetic_Data!N393</x:f>
        <x:v>407.5</x:v>
      </x:c>
      <x:c r="D393" s="159" t="n">
        <x:f>Synthetic_Data!J393</x:f>
        <x:v>16</x:v>
      </x:c>
      <x:c r="E393" s="159" t="n">
        <x:f>Synthetic_Data!G393</x:f>
        <x:v>1.3</x:v>
      </x:c>
      <x:c r="F393" s="68" t="str">
        <x:f>Synthetic_Data!F393</x:f>
        <x:v>inquiry</x:v>
      </x:c>
    </x:row>
    <x:row r="394" ht="18" customHeight="1">
      <x:c r="A394" s="66" t="str">
        <x:f>Synthetic_Data!B394</x:f>
        <x:v>P0393</x:v>
      </x:c>
      <x:c r="B394" s="153" t="n">
        <x:f>Synthetic_Data!A394</x:f>
        <x:v>46136</x:v>
      </x:c>
      <x:c r="C394" s="159" t="n">
        <x:f>Synthetic_Data!N394</x:f>
        <x:v>413.6</x:v>
      </x:c>
      <x:c r="D394" s="159" t="n">
        <x:f>Synthetic_Data!J394</x:f>
        <x:v>6.1</x:v>
      </x:c>
      <x:c r="E394" s="159" t="n">
        <x:f>Synthetic_Data!G394</x:f>
        <x:v>6.2</x:v>
      </x:c>
      <x:c r="F394" s="68" t="str">
        <x:f>Synthetic_Data!F394</x:f>
        <x:v>sample_submission</x:v>
      </x:c>
    </x:row>
    <x:row r="395" ht="18" customHeight="1">
      <x:c r="A395" s="66" t="str">
        <x:f>Synthetic_Data!B395</x:f>
        <x:v>P0394</x:v>
      </x:c>
      <x:c r="B395" s="153" t="n">
        <x:f>Synthetic_Data!A395</x:f>
        <x:v>46136</x:v>
      </x:c>
      <x:c r="C395" s="159" t="n">
        <x:f>Synthetic_Data!N395</x:f>
        <x:v>434.4</x:v>
      </x:c>
      <x:c r="D395" s="159" t="n">
        <x:f>Synthetic_Data!J395</x:f>
        <x:v>20.9</x:v>
      </x:c>
      <x:c r="E395" s="159" t="n">
        <x:f>Synthetic_Data!G395</x:f>
        <x:v>1.1</x:v>
      </x:c>
      <x:c r="F395" s="68" t="str">
        <x:f>Synthetic_Data!F395</x:f>
        <x:v>inquiry</x:v>
      </x:c>
    </x:row>
    <x:row r="396" ht="18" customHeight="1">
      <x:c r="A396" s="66" t="str">
        <x:f>Synthetic_Data!B396</x:f>
        <x:v>P0395</x:v>
      </x:c>
      <x:c r="B396" s="153" t="n">
        <x:f>Synthetic_Data!A396</x:f>
        <x:v>46136</x:v>
      </x:c>
      <x:c r="C396" s="159" t="n">
        <x:f>Synthetic_Data!N396</x:f>
        <x:v>439.5</x:v>
      </x:c>
      <x:c r="D396" s="159" t="n">
        <x:f>Synthetic_Data!J396</x:f>
        <x:v>5.1</x:v>
      </x:c>
      <x:c r="E396" s="159" t="n">
        <x:f>Synthetic_Data!G396</x:f>
        <x:v>4.1</x:v>
      </x:c>
      <x:c r="F396" s="68" t="str">
        <x:f>Synthetic_Data!F396</x:f>
        <x:v>registration</x:v>
      </x:c>
    </x:row>
    <x:row r="397" ht="18" customHeight="1">
      <x:c r="A397" s="66" t="str">
        <x:f>Synthetic_Data!B397</x:f>
        <x:v>P0396</x:v>
      </x:c>
      <x:c r="B397" s="153" t="n">
        <x:f>Synthetic_Data!A397</x:f>
        <x:v>46136</x:v>
      </x:c>
      <x:c r="C397" s="159" t="n">
        <x:f>Synthetic_Data!N397</x:f>
        <x:v>445.3</x:v>
      </x:c>
      <x:c r="D397" s="159" t="n">
        <x:f>Synthetic_Data!J397</x:f>
        <x:v>5.8</x:v>
      </x:c>
      <x:c r="E397" s="159" t="n">
        <x:f>Synthetic_Data!G397</x:f>
        <x:v>2.5</x:v>
      </x:c>
      <x:c r="F397" s="68" t="str">
        <x:f>Synthetic_Data!F397</x:f>
        <x:v>report_collection</x:v>
      </x:c>
    </x:row>
    <x:row r="398" ht="18" customHeight="1">
      <x:c r="A398" s="66" t="str">
        <x:f>Synthetic_Data!B398</x:f>
        <x:v>P0397</x:v>
      </x:c>
      <x:c r="B398" s="153" t="n">
        <x:f>Synthetic_Data!A398</x:f>
        <x:v>46136</x:v>
      </x:c>
      <x:c r="C398" s="159" t="n">
        <x:f>Synthetic_Data!N398</x:f>
        <x:v>446.2</x:v>
      </x:c>
      <x:c r="D398" s="159" t="n">
        <x:f>Synthetic_Data!J398</x:f>
        <x:v>0.9</x:v>
      </x:c>
      <x:c r="E398" s="159" t="n">
        <x:f>Synthetic_Data!G398</x:f>
        <x:v>4.4</x:v>
      </x:c>
      <x:c r="F398" s="68" t="str">
        <x:f>Synthetic_Data!F398</x:f>
        <x:v>sample_submission</x:v>
      </x:c>
    </x:row>
    <x:row r="399" ht="18" customHeight="1">
      <x:c r="A399" s="66" t="str">
        <x:f>Synthetic_Data!B399</x:f>
        <x:v>P0398</x:v>
      </x:c>
      <x:c r="B399" s="153" t="n">
        <x:f>Synthetic_Data!A399</x:f>
        <x:v>46136</x:v>
      </x:c>
      <x:c r="C399" s="159" t="n">
        <x:f>Synthetic_Data!N399</x:f>
        <x:v>449.5</x:v>
      </x:c>
      <x:c r="D399" s="159" t="n">
        <x:f>Synthetic_Data!J399</x:f>
        <x:v>3.3</x:v>
      </x:c>
      <x:c r="E399" s="159" t="n">
        <x:f>Synthetic_Data!G399</x:f>
        <x:v>2</x:v>
      </x:c>
      <x:c r="F399" s="68" t="str">
        <x:f>Synthetic_Data!F399</x:f>
        <x:v>inquiry</x:v>
      </x:c>
    </x:row>
    <x:row r="400" ht="18" customHeight="1">
      <x:c r="A400" s="66" t="str">
        <x:f>Synthetic_Data!B400</x:f>
        <x:v>P0399</x:v>
      </x:c>
      <x:c r="B400" s="153" t="n">
        <x:f>Synthetic_Data!A400</x:f>
        <x:v>46136</x:v>
      </x:c>
      <x:c r="C400" s="159" t="n">
        <x:f>Synthetic_Data!N400</x:f>
        <x:v>454.3</x:v>
      </x:c>
      <x:c r="D400" s="159" t="n">
        <x:f>Synthetic_Data!J400</x:f>
        <x:v>4.8</x:v>
      </x:c>
      <x:c r="E400" s="159" t="n">
        <x:f>Synthetic_Data!G400</x:f>
        <x:v>1.6</x:v>
      </x:c>
      <x:c r="F400" s="68" t="str">
        <x:f>Synthetic_Data!F400</x:f>
        <x:v>report_collection</x:v>
      </x:c>
    </x:row>
    <x:row r="401" ht="18" customHeight="1">
      <x:c r="A401" s="69" t="str">
        <x:f>Synthetic_Data!B401</x:f>
        <x:v>P0400</x:v>
      </x:c>
      <x:c r="B401" s="154" t="n">
        <x:f>Synthetic_Data!A401</x:f>
        <x:v>46136</x:v>
      </x:c>
      <x:c r="C401" s="160" t="n">
        <x:f>Synthetic_Data!N401</x:f>
        <x:v>474.5</x:v>
      </x:c>
      <x:c r="D401" s="160" t="n">
        <x:f>Synthetic_Data!J401</x:f>
        <x:v>20.2</x:v>
      </x:c>
      <x:c r="E401" s="160" t="n">
        <x:f>Synthetic_Data!G401</x:f>
        <x:v>1.9</x:v>
      </x:c>
      <x:c r="F401" s="71" t="str">
        <x:f>Synthetic_Data!F401</x:f>
        <x:v>report_collection</x:v>
      </x:c>
    </x:row>
  </x:sheetData>
  <x:pageMargins left="0.7" right="0.7" top="0.75" bottom="0.75" header="0.3" footer="0.3"/>
  <x:tableParts count="1">
    <x:tablePart xmlns:r="http://schemas.openxmlformats.org/officeDocument/2006/relationships" r:id="Rc80d52bafe3a45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5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Lab Front Desk G/G/1 Demo Dataset Summary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65" t="str">
        <x:v>Synthetic data only — use for demo/testing, not as real measured laboratory data.</x:v>
      </x:c>
      <x:c r="B2" s="165"/>
      <x:c r="C2" s="165"/>
      <x:c r="D2" s="165"/>
      <x:c r="E2" s="165"/>
      <x:c r="F2" s="165"/>
      <x:c r="G2" s="165"/>
      <x:c r="H2" s="165"/>
    </x:row>
    <x:row r="4" ht="20" customHeight="1">
      <x:c r="A4" s="168" t="str">
        <x:v>Metric</x:v>
      </x:c>
      <x:c r="B4" s="169" t="str">
        <x:v>Value</x:v>
      </x:c>
      <x:c r="C4" s="170" t="str">
        <x:v>Formula/Meaning</x:v>
      </x:c>
    </x:row>
    <x:row r="5" ht="20" customHeight="1">
      <x:c r="A5" s="63" t="str">
        <x:v>Total customers</x:v>
      </x:c>
      <x:c r="B5" s="158" t="n">
        <x:f>COUNT(Synthetic_Data!G2:G401)</x:f>
        <x:v>400</x:v>
      </x:c>
      <x:c r="C5" s="65" t="str">
        <x:v>Number of visitor/customer records</x:v>
      </x:c>
    </x:row>
    <x:row r="6" ht="20" customHeight="1">
      <x:c r="A6" s="66" t="str">
        <x:v>Working days</x:v>
      </x:c>
      <x:c r="B6" s="159" t="n">
        <x:f>5</x:f>
        <x:v>5</x:v>
      </x:c>
      <x:c r="C6" s="68" t="str">
        <x:v>Synthetic Monday–Friday sample</x:v>
      </x:c>
    </x:row>
    <x:row r="7" ht="20" customHeight="1">
      <x:c r="A7" s="66" t="str">
        <x:v>Average service time (min)</x:v>
      </x:c>
      <x:c r="B7" s="159" t="n">
        <x:f>AVERAGE(Synthetic_Data!G2:G401)</x:f>
        <x:v>3.8612499999999983</x:v>
      </x:c>
      <x:c r="C7" s="68" t="str">
        <x:v>Empirical service distribution mean</x:v>
      </x:c>
    </x:row>
    <x:row r="8" ht="20" customHeight="1">
      <x:c r="A8" s="66" t="str">
        <x:v>Average waiting time (min)</x:v>
      </x:c>
      <x:c r="B8" s="159" t="n">
        <x:f>AVERAGE(Synthetic_Data!H2:H401)</x:f>
        <x:v>9.336249999999993</x:v>
      </x:c>
      <x:c r="C8" s="68" t="str">
        <x:v>Average queue delay before service starts</x:v>
      </x:c>
    </x:row>
    <x:row r="9" ht="20" customHeight="1">
      <x:c r="A9" s="66" t="str">
        <x:v>Max waiting time (min)</x:v>
      </x:c>
      <x:c r="B9" s="159" t="n">
        <x:f>MAX(Synthetic_Data!H2:H401)</x:f>
        <x:v>50.5</x:v>
      </x:c>
      <x:c r="C9" s="68" t="str">
        <x:v>Worst observed queue wait</x:v>
      </x:c>
    </x:row>
    <x:row r="10" ht="20" customHeight="1">
      <x:c r="A10" s="66" t="str">
        <x:v>Average inter-arrival time (min)</x:v>
      </x:c>
      <x:c r="B10" s="159" t="n">
        <x:f>AVERAGEIF(Synthetic_Data!J2:J401,"&gt;0",Synthetic_Data!J2:J401)</x:f>
        <x:v>5.938324873096451</x:v>
      </x:c>
      <x:c r="C10" s="68" t="str">
        <x:v>Average gap between arrivals inside the same day</x:v>
      </x:c>
    </x:row>
    <x:row r="11" ht="20" customHeight="1">
      <x:c r="A11" s="66" t="str">
        <x:v>Max queue length at arrival</x:v>
      </x:c>
      <x:c r="B11" s="159" t="n">
        <x:f>MAX(Synthetic_Data!L2:L401)</x:f>
        <x:v>14</x:v>
      </x:c>
      <x:c r="C11" s="68" t="str">
        <x:v>Highest number waiting before a new arrival</x:v>
      </x:c>
    </x:row>
    <x:row r="12" ht="20" customHeight="1">
      <x:c r="A12" s="69" t="str">
        <x:v>Server utilization</x:v>
      </x:c>
      <x:c r="B12" s="174" t="n">
        <x:f>SUM(Synthetic_Data!G2:G401)/(5*480)</x:f>
        <x:v>0.6435416666666663</x:v>
      </x:c>
      <x:c r="C12" s="71" t="str">
        <x:v>Total service minutes / available front-desk minutes</x:v>
      </x:c>
    </x:row>
    <x:row r="13" ht="20" customHeight="1"/>
    <x:row r="14" ht="20" customHeight="1"/>
    <x:row r="15" ht="20" customHeight="1">
      <x:c r="A15" s="176" t="str">
        <x:v>Customer Type</x:v>
      </x:c>
      <x:c r="B15" s="177" t="str">
        <x:v>Count</x:v>
      </x:c>
      <x:c r="C15" s="177" t="str">
        <x:v>Avg Service Min</x:v>
      </x:c>
      <x:c r="D15" s="178" t="str">
        <x:v>Avg Wait Min</x:v>
      </x:c>
    </x:row>
    <x:row r="16" ht="20" customHeight="1">
      <x:c r="A16" s="63" t="str">
        <x:v>registration</x:v>
      </x:c>
      <x:c r="B16" s="64" t="n">
        <x:f>COUNTIF(Synthetic_Data!$F$2:$F$401,A16)</x:f>
        <x:v>128</x:v>
      </x:c>
      <x:c r="C16" s="158" t="n">
        <x:f>AVERAGEIF(Synthetic_Data!$F$2:$F$401,A16,Synthetic_Data!$G$2:$G$401)</x:f>
        <x:v>4.640625000000004</x:v>
      </x:c>
      <x:c r="D16" s="182" t="n">
        <x:f>AVERAGEIF(Synthetic_Data!$F$2:$F$401,A16,Synthetic_Data!$H$2:$H$401)</x:f>
        <x:v>9.815625000000004</x:v>
      </x:c>
    </x:row>
    <x:row r="17" ht="20" customHeight="1">
      <x:c r="A17" s="66" t="str">
        <x:v>sample_submission</x:v>
      </x:c>
      <x:c r="B17" s="67" t="n">
        <x:f>COUNTIF(Synthetic_Data!$F$2:$F$401,A17)</x:f>
        <x:v>97</x:v>
      </x:c>
      <x:c r="C17" s="159" t="n">
        <x:f>AVERAGEIF(Synthetic_Data!$F$2:$F$401,A17,Synthetic_Data!$G$2:$G$401)</x:f>
        <x:v>5.224742268041236</x:v>
      </x:c>
      <x:c r="D17" s="183" t="n">
        <x:f>AVERAGEIF(Synthetic_Data!$F$2:$F$401,A17,Synthetic_Data!$H$2:$H$401)</x:f>
        <x:v>8.29896907216495</x:v>
      </x:c>
    </x:row>
    <x:row r="18" ht="20" customHeight="1">
      <x:c r="A18" s="66" t="str">
        <x:v>report_collection</x:v>
      </x:c>
      <x:c r="B18" s="67" t="n">
        <x:f>COUNTIF(Synthetic_Data!$F$2:$F$401,A18)</x:f>
        <x:v>77</x:v>
      </x:c>
      <x:c r="C18" s="159" t="n">
        <x:f>AVERAGEIF(Synthetic_Data!$F$2:$F$401,A18,Synthetic_Data!$G$2:$G$401)</x:f>
        <x:v>2.1649350649350656</x:v>
      </x:c>
      <x:c r="D18" s="183" t="n">
        <x:f>AVERAGEIF(Synthetic_Data!$F$2:$F$401,A18,Synthetic_Data!$H$2:$H$401)</x:f>
        <x:v>10.702597402597407</x:v>
      </x:c>
    </x:row>
    <x:row r="19" ht="20" customHeight="1">
      <x:c r="A19" s="66" t="str">
        <x:v>billing_payment</x:v>
      </x:c>
      <x:c r="B19" s="67" t="n">
        <x:f>COUNTIF(Synthetic_Data!$F$2:$F$401,A19)</x:f>
        <x:v>48</x:v>
      </x:c>
      <x:c r="C19" s="159" t="n">
        <x:f>AVERAGEIF(Synthetic_Data!$F$2:$F$401,A19,Synthetic_Data!$G$2:$G$401)</x:f>
        <x:v>3.552083333333334</x:v>
      </x:c>
      <x:c r="D19" s="183" t="n">
        <x:f>AVERAGEIF(Synthetic_Data!$F$2:$F$401,A19,Synthetic_Data!$H$2:$H$401)</x:f>
        <x:v>9.137500000000001</x:v>
      </x:c>
    </x:row>
    <x:row r="20" ht="20" customHeight="1">
      <x:c r="A20" s="66" t="str">
        <x:v>inquiry</x:v>
      </x:c>
      <x:c r="B20" s="67" t="n">
        <x:f>COUNTIF(Synthetic_Data!$F$2:$F$401,A20)</x:f>
        <x:v>36</x:v>
      </x:c>
      <x:c r="C20" s="159" t="n">
        <x:f>AVERAGEIF(Synthetic_Data!$F$2:$F$401,A20,Synthetic_Data!$G$2:$G$401)</x:f>
        <x:v>1.436111111111111</x:v>
      </x:c>
      <x:c r="D20" s="183" t="n">
        <x:f>AVERAGEIF(Synthetic_Data!$F$2:$F$401,A20,Synthetic_Data!$H$2:$H$401)</x:f>
        <x:v>7.694444444444445</x:v>
      </x:c>
    </x:row>
    <x:row r="21" ht="20" customHeight="1">
      <x:c r="A21" s="69" t="str">
        <x:v>appointment_booking</x:v>
      </x:c>
      <x:c r="B21" s="70" t="n">
        <x:f>COUNTIF(Synthetic_Data!$F$2:$F$401,A21)</x:f>
        <x:v>14</x:v>
      </x:c>
      <x:c r="C21" s="160" t="n">
        <x:f>AVERAGEIF(Synthetic_Data!$F$2:$F$401,A21,Synthetic_Data!$G$2:$G$401)</x:f>
        <x:v>3.9142857142857146</x:v>
      </x:c>
      <x:c r="D21" s="184" t="n">
        <x:f>AVERAGEIF(Synthetic_Data!$F$2:$F$401,A21,Synthetic_Data!$H$2:$H$401)</x:f>
        <x:v>9.528571428571428</x:v>
      </x:c>
    </x:row>
    <x:row r="22" ht="20" customHeight="1"/>
    <x:row r="23" ht="20" customHeight="1"/>
    <x:row r="24" ht="20" customHeight="1"/>
    <x:row r="25" ht="20" customHeight="1">
      <x:c r="A25" s="192" t="str">
        <x:v>Arrival Hour</x:v>
      </x:c>
      <x:c r="B25" s="193" t="str">
        <x:v>Arrivals</x:v>
      </x:c>
    </x:row>
    <x:row r="26" ht="20" customHeight="1">
      <x:c r="A26" s="63" t="str">
        <x:v>08:00</x:v>
      </x:c>
      <x:c r="B26" s="200" t="n">
        <x:f>COUNTIF(Synthetic_Data!$M$2:$M$401,8)</x:f>
        <x:v>83</x:v>
      </x:c>
    </x:row>
    <x:row r="27" ht="20" customHeight="1">
      <x:c r="A27" s="66" t="str">
        <x:v>09:00</x:v>
      </x:c>
      <x:c r="B27" s="201" t="n">
        <x:f>COUNTIF(Synthetic_Data!$M$2:$M$401,9)</x:f>
        <x:v>58</x:v>
      </x:c>
    </x:row>
    <x:row r="28" ht="20" customHeight="1">
      <x:c r="A28" s="66" t="str">
        <x:v>10:00</x:v>
      </x:c>
      <x:c r="B28" s="201" t="n">
        <x:f>COUNTIF(Synthetic_Data!$M$2:$M$401,10)</x:f>
        <x:v>51</x:v>
      </x:c>
    </x:row>
    <x:row r="29" ht="20" customHeight="1">
      <x:c r="A29" s="66" t="str">
        <x:v>11:00</x:v>
      </x:c>
      <x:c r="B29" s="201" t="n">
        <x:f>COUNTIF(Synthetic_Data!$M$2:$M$401,11)</x:f>
        <x:v>32</x:v>
      </x:c>
    </x:row>
    <x:row r="30" ht="20" customHeight="1">
      <x:c r="A30" s="66" t="str">
        <x:v>12:00</x:v>
      </x:c>
      <x:c r="B30" s="201" t="n">
        <x:f>COUNTIF(Synthetic_Data!$M$2:$M$401,12)</x:f>
        <x:v>23</x:v>
      </x:c>
    </x:row>
    <x:row r="31" ht="20" customHeight="1">
      <x:c r="A31" s="66" t="str">
        <x:v>13:00</x:v>
      </x:c>
      <x:c r="B31" s="201" t="n">
        <x:f>COUNTIF(Synthetic_Data!$M$2:$M$401,13)</x:f>
        <x:v>71</x:v>
      </x:c>
    </x:row>
    <x:row r="32" ht="20" customHeight="1">
      <x:c r="A32" s="66" t="str">
        <x:v>14:00</x:v>
      </x:c>
      <x:c r="B32" s="201" t="n">
        <x:f>COUNTIF(Synthetic_Data!$M$2:$M$401,14)</x:f>
        <x:v>42</x:v>
      </x:c>
    </x:row>
    <x:row r="33" ht="20" customHeight="1">
      <x:c r="A33" s="69" t="str">
        <x:v>15:00</x:v>
      </x:c>
      <x:c r="B33" s="202" t="n">
        <x:f>COUNTIF(Synthetic_Data!$M$2:$M$401,15)</x:f>
        <x:v>40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5e346d567ba4652"/>
</x:worksheet>
</file>